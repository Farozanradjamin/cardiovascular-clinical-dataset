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E2A5297E-9AB1-814F-AF13-3031EA0B5E96}" xr6:coauthVersionLast="47" xr6:coauthVersionMax="47" xr10:uidLastSave="{00000000-0000-0000-0000-000000000000}"/>
  <bookViews>
    <workbookView xWindow="0" yWindow="500" windowWidth="25600" windowHeight="14620" xr2:uid="{00000000-000D-0000-FFFF-FFFF00000000}"/>
  </bookViews>
  <sheets>
    <sheet name="2019 Cardio Registry" sheetId="1" r:id="rId1"/>
    <sheet name="Data Dictionary" sheetId="2" r:id="rId2"/>
    <sheet name="Summary" sheetId="3" r:id="rId3"/>
    <sheet name="README" sheetId="4" r:id="rId4"/>
    <sheet name="Lookup List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B17" i="3"/>
  <c r="B16" i="3"/>
  <c r="B15" i="3"/>
  <c r="B14" i="3"/>
  <c r="B13" i="3"/>
  <c r="B10" i="3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<sst xmlns="http://schemas.openxmlformats.org/spreadsheetml/2006/main" count="3668" uniqueCount="305">
  <si>
    <t>Patient_ID</t>
  </si>
  <si>
    <t>Enrollment_Date</t>
  </si>
  <si>
    <t>Hospital</t>
  </si>
  <si>
    <t>Age</t>
  </si>
  <si>
    <t>Sex</t>
  </si>
  <si>
    <t>BMI</t>
  </si>
  <si>
    <t>Smoking_Status</t>
  </si>
  <si>
    <t>Diabetes</t>
  </si>
  <si>
    <t>Hypertension</t>
  </si>
  <si>
    <t>CKD</t>
  </si>
  <si>
    <t>Prior_MI</t>
  </si>
  <si>
    <t>Prior_Stroke</t>
  </si>
  <si>
    <t>Diagnosis</t>
  </si>
  <si>
    <t>Presentation</t>
  </si>
  <si>
    <t>Onset_to_Door_Min</t>
  </si>
  <si>
    <t>SBP_mmHg</t>
  </si>
  <si>
    <t>DBP_mmHg</t>
  </si>
  <si>
    <t>Heart_Rate_bpm</t>
  </si>
  <si>
    <t>SpO2_pct</t>
  </si>
  <si>
    <t>Killip_Class</t>
  </si>
  <si>
    <t>NYHA_Class</t>
  </si>
  <si>
    <t>ECG_ST_Change</t>
  </si>
  <si>
    <t>ECG_Arrhythmia</t>
  </si>
  <si>
    <t>Troponin_ng_L</t>
  </si>
  <si>
    <t>BNP_pg_mL</t>
  </si>
  <si>
    <t>D_dimer_ng_mL</t>
  </si>
  <si>
    <t>Creatinine_umol_L</t>
  </si>
  <si>
    <t>eGFR_mL_min</t>
  </si>
  <si>
    <t>LDL_mmol_L</t>
  </si>
  <si>
    <t>HbA1c_pct</t>
  </si>
  <si>
    <t>LVEF_pct</t>
  </si>
  <si>
    <t>Echo_RV_Dysfunction</t>
  </si>
  <si>
    <t>CTPA_PE_Burden</t>
  </si>
  <si>
    <t>Coronary_Angiography</t>
  </si>
  <si>
    <t>Culprit_Vessel</t>
  </si>
  <si>
    <t>Stenosis_pct</t>
  </si>
  <si>
    <t>PCI_Performed</t>
  </si>
  <si>
    <t>Thrombolysis</t>
  </si>
  <si>
    <t>Anticoagulation</t>
  </si>
  <si>
    <t>Primary_Treatment</t>
  </si>
  <si>
    <t>ICU_Admission</t>
  </si>
  <si>
    <t>Length_of_Stay_Days</t>
  </si>
  <si>
    <t>In_Hospital_Complication</t>
  </si>
  <si>
    <t>Discharge_Medication</t>
  </si>
  <si>
    <t>30D_Readmission</t>
  </si>
  <si>
    <t>30D_Mortality</t>
  </si>
  <si>
    <t>90D_MACE</t>
  </si>
  <si>
    <t>Data_Completeness_Score</t>
  </si>
  <si>
    <t>Risk_Score</t>
  </si>
  <si>
    <t>Risk_Category</t>
  </si>
  <si>
    <t>Audit_Flag</t>
  </si>
  <si>
    <t>CARD2019-012</t>
  </si>
  <si>
    <t>RSCM-Jakarta</t>
  </si>
  <si>
    <t>Female</t>
  </si>
  <si>
    <t>Never</t>
  </si>
  <si>
    <t>No</t>
  </si>
  <si>
    <t>Yes</t>
  </si>
  <si>
    <t>Massive Pulmonary Embolism</t>
  </si>
  <si>
    <t>pleuritic chest pain</t>
  </si>
  <si>
    <t>ST elevation</t>
  </si>
  <si>
    <t>SVT</t>
  </si>
  <si>
    <t>Saddle embolus</t>
  </si>
  <si>
    <t>Not done</t>
  </si>
  <si>
    <t>Not assessed</t>
  </si>
  <si>
    <t>N/A</t>
  </si>
  <si>
    <t>Anticoagulation +/- thrombolysis</t>
  </si>
  <si>
    <t>None</t>
  </si>
  <si>
    <t>Anticoagulant only</t>
  </si>
  <si>
    <t>Low</t>
  </si>
  <si>
    <t>OK</t>
  </si>
  <si>
    <t>CARD2019-079</t>
  </si>
  <si>
    <t>Myocarditis</t>
  </si>
  <si>
    <t>fever with chest pain</t>
  </si>
  <si>
    <t>ST depression</t>
  </si>
  <si>
    <t>AF</t>
  </si>
  <si>
    <t>Supportive care + cardiac monitoring</t>
  </si>
  <si>
    <t>Diuretic+ACEi+BB+MRA</t>
  </si>
  <si>
    <t>CARD2019-071</t>
  </si>
  <si>
    <t>Siloam-Tangerang</t>
  </si>
  <si>
    <t>Former</t>
  </si>
  <si>
    <t>Unstable Angina</t>
  </si>
  <si>
    <t>crescendo angina</t>
  </si>
  <si>
    <t>Done 24-72h</t>
  </si>
  <si>
    <t>LAD</t>
  </si>
  <si>
    <t>ACS rule-out + antianginal therapy</t>
  </si>
  <si>
    <t>DAPT+Statin+BB+ACEi</t>
  </si>
  <si>
    <t>Intermediate</t>
  </si>
  <si>
    <t>CARD2019-067</t>
  </si>
  <si>
    <t>RSHS-Bandung</t>
  </si>
  <si>
    <t>Male</t>
  </si>
  <si>
    <t>Current</t>
  </si>
  <si>
    <t>Sinus rhythm</t>
  </si>
  <si>
    <t>CARD2019-041</t>
  </si>
  <si>
    <t>NUHCS-SG</t>
  </si>
  <si>
    <t>recurrent chest pain</t>
  </si>
  <si>
    <t>T-wave inversion</t>
  </si>
  <si>
    <t>PVCs</t>
  </si>
  <si>
    <t>Done &lt;24h</t>
  </si>
  <si>
    <t>RCA</t>
  </si>
  <si>
    <t>Cardiogenic shock</t>
  </si>
  <si>
    <t>CARD2019-093</t>
  </si>
  <si>
    <t>NSTEMI</t>
  </si>
  <si>
    <t>atypical chest pain</t>
  </si>
  <si>
    <t>Outpatient planned</t>
  </si>
  <si>
    <t>Left Main</t>
  </si>
  <si>
    <t>ACS protocol + early invasive strategy</t>
  </si>
  <si>
    <t>CARD2019-017</t>
  </si>
  <si>
    <t>CARD2019-063</t>
  </si>
  <si>
    <t>Acute Heart Failure</t>
  </si>
  <si>
    <t>pulmonary edema</t>
  </si>
  <si>
    <t>IV diuresis + oxygen/NIV as needed</t>
  </si>
  <si>
    <t>CARD2019-096</t>
  </si>
  <si>
    <t>CARD2019-023</t>
  </si>
  <si>
    <t>acute dyspnea</t>
  </si>
  <si>
    <t>Major bleeding</t>
  </si>
  <si>
    <t>Low completeness</t>
  </si>
  <si>
    <t>CARD2019-055</t>
  </si>
  <si>
    <t>orthopnea and edema</t>
  </si>
  <si>
    <t>CARD2019-060</t>
  </si>
  <si>
    <t>RSUPN-Jakarta</t>
  </si>
  <si>
    <t>LCx</t>
  </si>
  <si>
    <t>CARD2019-031</t>
  </si>
  <si>
    <t>CARD2019-068</t>
  </si>
  <si>
    <t>Atrial Fibrillation with RVR</t>
  </si>
  <si>
    <t>chest discomfort palpitations</t>
  </si>
  <si>
    <t>Rate/rhythm control + anticoagulation assessment</t>
  </si>
  <si>
    <t>DAPT+Statin</t>
  </si>
  <si>
    <t>CARD2019-115</t>
  </si>
  <si>
    <t>CARD2019-114</t>
  </si>
  <si>
    <t>dyspnea and chest tightness</t>
  </si>
  <si>
    <t>CARD2019-024</t>
  </si>
  <si>
    <t>STEMI</t>
  </si>
  <si>
    <t>crushing chest pain</t>
  </si>
  <si>
    <t>Multivessel</t>
  </si>
  <si>
    <t>Primary PCI / reperfusion pathway</t>
  </si>
  <si>
    <t>High</t>
  </si>
  <si>
    <t>CARD2019-042</t>
  </si>
  <si>
    <t>VT runs</t>
  </si>
  <si>
    <t>CARD2019-014</t>
  </si>
  <si>
    <t>CARD2019-051</t>
  </si>
  <si>
    <t>epigastric pain with ECG changes</t>
  </si>
  <si>
    <t>Recurrent arrhythmia</t>
  </si>
  <si>
    <t>CARD2019-110</t>
  </si>
  <si>
    <t>troponin positive chest pain</t>
  </si>
  <si>
    <t>Stroke/TIA</t>
  </si>
  <si>
    <t>CARD2019-033</t>
  </si>
  <si>
    <t>No culprit</t>
  </si>
  <si>
    <t>STEMI ECG mismatch</t>
  </si>
  <si>
    <t>CARD2019-032</t>
  </si>
  <si>
    <t>CARD2019-008</t>
  </si>
  <si>
    <t>CARD2019-006</t>
  </si>
  <si>
    <t>Anticoagulant+BB</t>
  </si>
  <si>
    <t>CARD2019-108</t>
  </si>
  <si>
    <t>chest discomfort</t>
  </si>
  <si>
    <t>CARD2019-010</t>
  </si>
  <si>
    <t>CARD2019-025</t>
  </si>
  <si>
    <t>acute dyspnea and syncope</t>
  </si>
  <si>
    <t>Main pulmonary artery</t>
  </si>
  <si>
    <t>CARD2019-078</t>
  </si>
  <si>
    <t>Stable Angina</t>
  </si>
  <si>
    <t>clinic chest pain assessment</t>
  </si>
  <si>
    <t>Medical therapy + planned angiography</t>
  </si>
  <si>
    <t>CARD2019-045</t>
  </si>
  <si>
    <t>exertional chest pain at rest</t>
  </si>
  <si>
    <t>CARD2019-091</t>
  </si>
  <si>
    <t>CARD2019-076</t>
  </si>
  <si>
    <t>CARD2019-077</t>
  </si>
  <si>
    <t>CARD2019-107</t>
  </si>
  <si>
    <t>CARD2019-074</t>
  </si>
  <si>
    <t>diaphoresis chest pain</t>
  </si>
  <si>
    <t>CARD2019-098</t>
  </si>
  <si>
    <t>AKI</t>
  </si>
  <si>
    <t>CARD2019-064</t>
  </si>
  <si>
    <t>CARD2019-099</t>
  </si>
  <si>
    <t>CARD2019-027</t>
  </si>
  <si>
    <t>positive stress test</t>
  </si>
  <si>
    <t>CARD2019-111</t>
  </si>
  <si>
    <t>exertional chest pain</t>
  </si>
  <si>
    <t>Statin+BB</t>
  </si>
  <si>
    <t>CARD2019-065</t>
  </si>
  <si>
    <t>CARD2019-043</t>
  </si>
  <si>
    <t>CARD2019-088</t>
  </si>
  <si>
    <t>Low completeness; STEMI ECG mismatch</t>
  </si>
  <si>
    <t>CARD2019-003</t>
  </si>
  <si>
    <t>Respiratory failure</t>
  </si>
  <si>
    <t>CARD2019-052</t>
  </si>
  <si>
    <t>CARD2019-001</t>
  </si>
  <si>
    <t>CARD2019-029</t>
  </si>
  <si>
    <t>CARD2019-039</t>
  </si>
  <si>
    <t>CARD2019-075</t>
  </si>
  <si>
    <t>Supportive care</t>
  </si>
  <si>
    <t>CARD2019-026</t>
  </si>
  <si>
    <t>CARD2019-053</t>
  </si>
  <si>
    <t>CARD2019-119</t>
  </si>
  <si>
    <t>CARD2019-102</t>
  </si>
  <si>
    <t>CARD2019-004</t>
  </si>
  <si>
    <t>CARD2019-101</t>
  </si>
  <si>
    <t>CARD2019-020</t>
  </si>
  <si>
    <t>CARD2019-022</t>
  </si>
  <si>
    <t>CARD2019-019</t>
  </si>
  <si>
    <t>CARD2019-035</t>
  </si>
  <si>
    <t>CARD2019-054</t>
  </si>
  <si>
    <t>dyspnea with irregular pulse</t>
  </si>
  <si>
    <t>CARD2019-037</t>
  </si>
  <si>
    <t>CARD2019-059</t>
  </si>
  <si>
    <t>CARD2019-092</t>
  </si>
  <si>
    <t>viral prodrome chest pain</t>
  </si>
  <si>
    <t>CARD2019-034</t>
  </si>
  <si>
    <t>CARD2019-113</t>
  </si>
  <si>
    <t>CARD2019-094</t>
  </si>
  <si>
    <t>CARD2019-080</t>
  </si>
  <si>
    <t>CARD2019-105</t>
  </si>
  <si>
    <t>CARD2019-069</t>
  </si>
  <si>
    <t>CARD2019-056</t>
  </si>
  <si>
    <t>CARD2019-036</t>
  </si>
  <si>
    <t>CARD2019-090</t>
  </si>
  <si>
    <t>CARD2019-011</t>
  </si>
  <si>
    <t>palpitations</t>
  </si>
  <si>
    <t>CARD2019-016</t>
  </si>
  <si>
    <t>CARD2019-007</t>
  </si>
  <si>
    <t>CARD2019-066</t>
  </si>
  <si>
    <t>CARD2019-118</t>
  </si>
  <si>
    <t>CARD2019-030</t>
  </si>
  <si>
    <t>CARD2019-070</t>
  </si>
  <si>
    <t>CARD2019-103</t>
  </si>
  <si>
    <t>CARD2019-058</t>
  </si>
  <si>
    <t>CARD2019-082</t>
  </si>
  <si>
    <t>CARD2019-049</t>
  </si>
  <si>
    <t>CARD2019-038</t>
  </si>
  <si>
    <t>Lobar</t>
  </si>
  <si>
    <t>CARD2019-085</t>
  </si>
  <si>
    <t>CARD2019-089</t>
  </si>
  <si>
    <t>CARD2019-047</t>
  </si>
  <si>
    <t>CARD2019-109</t>
  </si>
  <si>
    <t>CARD2019-062</t>
  </si>
  <si>
    <t>CARD2019-015</t>
  </si>
  <si>
    <t>CARD2019-005</t>
  </si>
  <si>
    <t>CARD2019-018</t>
  </si>
  <si>
    <t>CARD2019-120</t>
  </si>
  <si>
    <t>CARD2019-087</t>
  </si>
  <si>
    <t>CARD2019-044</t>
  </si>
  <si>
    <t>CARD2019-028</t>
  </si>
  <si>
    <t>panic-like dyspnea</t>
  </si>
  <si>
    <t>CARD2019-013</t>
  </si>
  <si>
    <t>CARD2019-100</t>
  </si>
  <si>
    <t>CARD2019-009</t>
  </si>
  <si>
    <t>CARD2019-116</t>
  </si>
  <si>
    <t>Segmental</t>
  </si>
  <si>
    <t>CARD2019-104</t>
  </si>
  <si>
    <t>CARD2019-081</t>
  </si>
  <si>
    <t>CARD2019-057</t>
  </si>
  <si>
    <t>CARD2019-084</t>
  </si>
  <si>
    <t>CARD2019-021</t>
  </si>
  <si>
    <t>CARD2019-106</t>
  </si>
  <si>
    <t>CARD2019-050</t>
  </si>
  <si>
    <t>CARD2019-117</t>
  </si>
  <si>
    <t>CARD2019-046</t>
  </si>
  <si>
    <t>CARD2019-002</t>
  </si>
  <si>
    <t>CARD2019-086</t>
  </si>
  <si>
    <t>CARD2019-048</t>
  </si>
  <si>
    <t>CARD2019-097</t>
  </si>
  <si>
    <t>CARD2019-112</t>
  </si>
  <si>
    <t>CARD2019-083</t>
  </si>
  <si>
    <t>CARD2019-072</t>
  </si>
  <si>
    <t>CARD2019-061</t>
  </si>
  <si>
    <t>CARD2019-040</t>
  </si>
  <si>
    <t>CARD2019-095</t>
  </si>
  <si>
    <t>CARD2019-073</t>
  </si>
  <si>
    <t>Field</t>
  </si>
  <si>
    <t>Description</t>
  </si>
  <si>
    <t>Example / Notes</t>
  </si>
  <si>
    <t>Synthetic registry identifier, anonymized and not traceable to a real patient.</t>
  </si>
  <si>
    <t>Date of index encounter in 2019.</t>
  </si>
  <si>
    <t>2019-01-15</t>
  </si>
  <si>
    <t>Synthetic clinical variable for cardiology registry training and analysis.</t>
  </si>
  <si>
    <t>Dummy data; not for clinical decision-making</t>
  </si>
  <si>
    <t>Final cardiovascular diagnosis assigned after workup.</t>
  </si>
  <si>
    <t>STEMI / NSTEMI / PE / HF etc.</t>
  </si>
  <si>
    <t>Composite endpoint: mortality, readmission, or simulated major adverse cardiovascular event by 90 days.</t>
  </si>
  <si>
    <t>Yes/No</t>
  </si>
  <si>
    <t>Synthetic score estimating completeness of the row for audit exercises.</t>
  </si>
  <si>
    <t>0-100</t>
  </si>
  <si>
    <t>Synthetic composite severity score generated from age, vitals, troponin, renal function, oxygenation, and ICU status.</t>
  </si>
  <si>
    <t>Higher = worse severity</t>
  </si>
  <si>
    <t>Rule-based data-quality flag for unusual or incomplete records.</t>
  </si>
  <si>
    <t>OK / Low completeness / ECG mismatch</t>
  </si>
  <si>
    <t>2019 Cardiology Registry Summary</t>
  </si>
  <si>
    <t>Metric</t>
  </si>
  <si>
    <t>Value</t>
  </si>
  <si>
    <t>Total patients</t>
  </si>
  <si>
    <t>Mean age</t>
  </si>
  <si>
    <t>ICU admission rate</t>
  </si>
  <si>
    <t>30-day readmission rate</t>
  </si>
  <si>
    <t>30-day mortality rate</t>
  </si>
  <si>
    <t>90-day MACE rate</t>
  </si>
  <si>
    <t>High-risk patients</t>
  </si>
  <si>
    <t>Records needing audit</t>
  </si>
  <si>
    <t>Count</t>
  </si>
  <si>
    <t>2019 Synthetic Cardiology Registry Dataset</t>
  </si>
  <si>
    <t>This workbook contains 120 synthetic cardiology patient records for methods practice, audit simulation, data cleaning, and manuscript supplementary dataset formatting.</t>
  </si>
  <si>
    <t>No real patient data are included. Values are generated to be plausible but should not be used for clinical decisions.</t>
  </si>
  <si>
    <t>Suggested analyses: diagnosis distribution, ICU predictors, 30-day readmission, 90-day MACE, data-quality flags, and PE/ACS subgroup comparisons.</t>
  </si>
  <si>
    <t>Recommended citation in a repository: Synthetic dataset generated for educational manuscript/data management practice, 2019 cardiology registry format.</t>
  </si>
  <si>
    <t>YesNo</t>
  </si>
  <si>
    <t>Hospitals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</si>
</sst>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1F4E79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B5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3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3">
    <dxf>
      <fill>
        <patternFill patternType="solid">
          <bgColor rgb="FFFEF3C7"/>
        </patternFill>
      </fill>
    </dxf>
    <dxf>
      <font>
        <b/>
      </font>
      <fill>
        <patternFill patternType="solid">
          <bgColor rgb="FFFECACA"/>
        </patternFill>
      </fill>
    </dxf>
    <dxf>
      <fill>
        <patternFill patternType="solid">
          <bgColor rgb="FFE0F2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dioRegistry2019" displayName="CardioRegistry2019" ref="A1:AX121">
  <tableColumns count="50">
    <tableColumn id="1" xr3:uid="{00000000-0010-0000-0000-000001000000}" name="Patient_ID"/>
    <tableColumn id="2" xr3:uid="{00000000-0010-0000-0000-000002000000}" name="Enrollment_Date"/>
    <tableColumn id="4" xr3:uid="{00000000-0010-0000-0000-000004000000}" name="Age"/>
    <tableColumn id="5" xr3:uid="{00000000-0010-0000-0000-000005000000}" name="Sex"/>
    <tableColumn id="6" xr3:uid="{00000000-0010-0000-0000-000006000000}" name="BMI"/>
    <tableColumn id="7" xr3:uid="{00000000-0010-0000-0000-000007000000}" name="Smoking_Status"/>
    <tableColumn id="8" xr3:uid="{00000000-0010-0000-0000-000008000000}" name="Diabetes"/>
    <tableColumn id="9" xr3:uid="{00000000-0010-0000-0000-000009000000}" name="Hypertension"/>
    <tableColumn id="10" xr3:uid="{00000000-0010-0000-0000-00000A000000}" name="CKD"/>
    <tableColumn id="11" xr3:uid="{00000000-0010-0000-0000-00000B000000}" name="Prior_MI"/>
    <tableColumn id="12" xr3:uid="{00000000-0010-0000-0000-00000C000000}" name="Prior_Stroke"/>
    <tableColumn id="13" xr3:uid="{00000000-0010-0000-0000-00000D000000}" name="Diagnosis"/>
    <tableColumn id="14" xr3:uid="{00000000-0010-0000-0000-00000E000000}" name="Presentation"/>
    <tableColumn id="15" xr3:uid="{00000000-0010-0000-0000-00000F000000}" name="Onset_to_Door_Min"/>
    <tableColumn id="16" xr3:uid="{00000000-0010-0000-0000-000010000000}" name="SBP_mmHg"/>
    <tableColumn id="17" xr3:uid="{00000000-0010-0000-0000-000011000000}" name="DBP_mmHg"/>
    <tableColumn id="18" xr3:uid="{00000000-0010-0000-0000-000012000000}" name="Heart_Rate_bpm"/>
    <tableColumn id="19" xr3:uid="{00000000-0010-0000-0000-000013000000}" name="SpO2_pct"/>
    <tableColumn id="20" xr3:uid="{00000000-0010-0000-0000-000014000000}" name="Killip_Class"/>
    <tableColumn id="21" xr3:uid="{00000000-0010-0000-0000-000015000000}" name="NYHA_Class"/>
    <tableColumn id="22" xr3:uid="{00000000-0010-0000-0000-000016000000}" name="ECG_ST_Change"/>
    <tableColumn id="23" xr3:uid="{00000000-0010-0000-0000-000017000000}" name="ECG_Arrhythmia"/>
    <tableColumn id="24" xr3:uid="{00000000-0010-0000-0000-000018000000}" name="Troponin_ng_L"/>
    <tableColumn id="25" xr3:uid="{00000000-0010-0000-0000-000019000000}" name="BNP_pg_mL"/>
    <tableColumn id="26" xr3:uid="{00000000-0010-0000-0000-00001A000000}" name="D_dimer_ng_mL"/>
    <tableColumn id="27" xr3:uid="{00000000-0010-0000-0000-00001B000000}" name="Creatinine_umol_L"/>
    <tableColumn id="28" xr3:uid="{00000000-0010-0000-0000-00001C000000}" name="eGFR_mL_min"/>
    <tableColumn id="29" xr3:uid="{00000000-0010-0000-0000-00001D000000}" name="LDL_mmol_L"/>
    <tableColumn id="30" xr3:uid="{00000000-0010-0000-0000-00001E000000}" name="HbA1c_pct"/>
    <tableColumn id="31" xr3:uid="{00000000-0010-0000-0000-00001F000000}" name="LVEF_pct"/>
    <tableColumn id="32" xr3:uid="{00000000-0010-0000-0000-000020000000}" name="Echo_RV_Dysfunction"/>
    <tableColumn id="33" xr3:uid="{00000000-0010-0000-0000-000021000000}" name="CTPA_PE_Burden"/>
    <tableColumn id="34" xr3:uid="{00000000-0010-0000-0000-000022000000}" name="Coronary_Angiography"/>
    <tableColumn id="35" xr3:uid="{00000000-0010-0000-0000-000023000000}" name="Culprit_Vessel"/>
    <tableColumn id="36" xr3:uid="{00000000-0010-0000-0000-000024000000}" name="Stenosis_pct"/>
    <tableColumn id="37" xr3:uid="{00000000-0010-0000-0000-000025000000}" name="PCI_Performed"/>
    <tableColumn id="38" xr3:uid="{00000000-0010-0000-0000-000026000000}" name="Thrombolysis"/>
    <tableColumn id="39" xr3:uid="{00000000-0010-0000-0000-000027000000}" name="Anticoagulation"/>
    <tableColumn id="40" xr3:uid="{00000000-0010-0000-0000-000028000000}" name="Primary_Treatment"/>
    <tableColumn id="41" xr3:uid="{00000000-0010-0000-0000-000029000000}" name="ICU_Admission"/>
    <tableColumn id="42" xr3:uid="{00000000-0010-0000-0000-00002A000000}" name="Length_of_Stay_Days"/>
    <tableColumn id="43" xr3:uid="{00000000-0010-0000-0000-00002B000000}" name="In_Hospital_Complication"/>
    <tableColumn id="44" xr3:uid="{00000000-0010-0000-0000-00002C000000}" name="Discharge_Medication"/>
    <tableColumn id="45" xr3:uid="{00000000-0010-0000-0000-00002D000000}" name="30D_Readmission"/>
    <tableColumn id="46" xr3:uid="{00000000-0010-0000-0000-00002E000000}" name="30D_Mortality"/>
    <tableColumn id="47" xr3:uid="{00000000-0010-0000-0000-00002F000000}" name="90D_MACE"/>
    <tableColumn id="48" xr3:uid="{00000000-0010-0000-0000-000030000000}" name="Data_Completeness_Score"/>
    <tableColumn id="49" xr3:uid="{00000000-0010-0000-0000-000031000000}" name="Risk_Score"/>
    <tableColumn id="50" xr3:uid="{00000000-0010-0000-0000-000032000000}" name="Risk_Category"/>
    <tableColumn id="51" xr3:uid="{00000000-0010-0000-0000-000033000000}" name="Audit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1"/>
  <sheetViews>
    <sheetView tabSelected="1" workbookViewId="0">
      <selection activeCell="M9" sqref="M9"/>
    </sheetView>
  </sheetViews>
  <sheetFormatPr baseColWidth="10" defaultColWidth="8.83203125" defaultRowHeight="15"/>
  <cols>
    <col min="1" max="1" width="14" customWidth="1"/>
    <col min="2" max="2" width="13.83203125" customWidth="1"/>
    <col min="3" max="3" width="3.1640625" customWidth="1"/>
    <col min="4" max="4" width="5.83203125" customWidth="1"/>
    <col min="5" max="5" width="3.33203125" customWidth="1"/>
    <col min="6" max="6" width="13" customWidth="1"/>
    <col min="7" max="7" width="7.1640625" customWidth="1"/>
    <col min="8" max="8" width="10.83203125" customWidth="1"/>
    <col min="9" max="9" width="3.1640625" customWidth="1"/>
    <col min="10" max="10" width="7.1640625" customWidth="1"/>
    <col min="11" max="11" width="10.1640625" customWidth="1"/>
    <col min="12" max="12" width="23.83203125" customWidth="1"/>
    <col min="13" max="13" width="24" customWidth="1"/>
    <col min="14" max="14" width="16.83203125" customWidth="1"/>
    <col min="15" max="15" width="9.5" customWidth="1"/>
    <col min="16" max="16" width="9.6640625" customWidth="1"/>
    <col min="17" max="17" width="14" customWidth="1"/>
    <col min="18" max="18" width="7.83203125" customWidth="1"/>
    <col min="19" max="19" width="9" customWidth="1"/>
    <col min="20" max="20" width="9.6640625" customWidth="1"/>
    <col min="21" max="21" width="13.1640625" customWidth="1"/>
    <col min="22" max="22" width="13.5" customWidth="1"/>
    <col min="23" max="23" width="12.1640625" customWidth="1"/>
    <col min="24" max="24" width="9.83203125" customWidth="1"/>
    <col min="25" max="25" width="13.5" customWidth="1"/>
    <col min="26" max="26" width="15.33203125" customWidth="1"/>
    <col min="27" max="27" width="11.6640625" customWidth="1"/>
    <col min="28" max="28" width="10.33203125" customWidth="1"/>
    <col min="29" max="29" width="8.6640625" customWidth="1"/>
    <col min="30" max="30" width="7.1640625" customWidth="1"/>
    <col min="31" max="31" width="17.83203125" customWidth="1"/>
    <col min="32" max="32" width="18.5" customWidth="1"/>
    <col min="33" max="33" width="18.6640625" customWidth="1"/>
    <col min="34" max="34" width="11.5" customWidth="1"/>
    <col min="35" max="35" width="10.1640625" customWidth="1"/>
    <col min="36" max="36" width="12.1640625" customWidth="1"/>
    <col min="37" max="37" width="10.83203125" customWidth="1"/>
    <col min="38" max="38" width="13" customWidth="1"/>
    <col min="39" max="39" width="34" customWidth="1"/>
    <col min="40" max="40" width="12.1640625" customWidth="1"/>
    <col min="41" max="41" width="17.5" customWidth="1"/>
    <col min="42" max="42" width="21" customWidth="1"/>
    <col min="43" max="43" width="24" customWidth="1"/>
    <col min="44" max="44" width="14.5" customWidth="1"/>
    <col min="45" max="45" width="11.83203125" customWidth="1"/>
    <col min="46" max="46" width="9" customWidth="1"/>
    <col min="47" max="47" width="21.6640625" customWidth="1"/>
    <col min="48" max="48" width="8.6640625" customWidth="1"/>
    <col min="49" max="49" width="11.5" customWidth="1"/>
    <col min="50" max="50" width="28" customWidth="1"/>
  </cols>
  <sheetData>
    <row r="1" spans="1:50" ht="48">
      <c r="A1" s="3" t="s">
        <v>0</v>
      </c>
      <c r="B1" s="4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  <c r="AX1" s="3" t="s">
        <v>50</v>
      </c>
    </row>
    <row r="2" spans="1:50">
      <c r="A2" t="s">
        <v>51</v>
      </c>
      <c r="B2">
        <v>43470</v>
      </c>
      <c r="C2">
        <v>34</v>
      </c>
      <c r="D2" t="s">
        <v>53</v>
      </c>
      <c r="E2">
        <v>26.9</v>
      </c>
      <c r="F2" t="s">
        <v>54</v>
      </c>
      <c r="G2" t="s">
        <v>55</v>
      </c>
      <c r="H2" t="s">
        <v>56</v>
      </c>
      <c r="I2" t="s">
        <v>55</v>
      </c>
      <c r="J2" t="s">
        <v>55</v>
      </c>
      <c r="K2" t="s">
        <v>55</v>
      </c>
      <c r="L2" t="s">
        <v>57</v>
      </c>
      <c r="M2" t="s">
        <v>58</v>
      </c>
      <c r="N2">
        <v>808</v>
      </c>
      <c r="O2">
        <v>129</v>
      </c>
      <c r="P2">
        <v>75</v>
      </c>
      <c r="Q2">
        <v>63</v>
      </c>
      <c r="R2">
        <v>90</v>
      </c>
      <c r="S2">
        <v>2</v>
      </c>
      <c r="T2">
        <v>2</v>
      </c>
      <c r="U2" t="s">
        <v>59</v>
      </c>
      <c r="V2" t="s">
        <v>60</v>
      </c>
      <c r="W2">
        <v>4.1000000000000002E-2</v>
      </c>
      <c r="X2">
        <v>102</v>
      </c>
      <c r="Y2">
        <v>8330</v>
      </c>
      <c r="Z2">
        <v>103</v>
      </c>
      <c r="AA2">
        <v>125</v>
      </c>
      <c r="AB2">
        <v>3</v>
      </c>
      <c r="AC2">
        <v>5.5</v>
      </c>
      <c r="AD2">
        <v>32</v>
      </c>
      <c r="AE2" t="s">
        <v>55</v>
      </c>
      <c r="AF2" t="s">
        <v>61</v>
      </c>
      <c r="AG2" t="s">
        <v>62</v>
      </c>
      <c r="AH2" t="s">
        <v>63</v>
      </c>
      <c r="AI2" t="s">
        <v>64</v>
      </c>
      <c r="AJ2" t="s">
        <v>55</v>
      </c>
      <c r="AK2" t="s">
        <v>55</v>
      </c>
      <c r="AL2" t="s">
        <v>56</v>
      </c>
      <c r="AM2" t="s">
        <v>65</v>
      </c>
      <c r="AN2" t="s">
        <v>56</v>
      </c>
      <c r="AO2">
        <v>13</v>
      </c>
      <c r="AP2" t="s">
        <v>66</v>
      </c>
      <c r="AQ2" t="s">
        <v>67</v>
      </c>
      <c r="AR2" t="s">
        <v>55</v>
      </c>
      <c r="AS2" t="s">
        <v>55</v>
      </c>
      <c r="AT2" t="s">
        <v>55</v>
      </c>
      <c r="AU2">
        <v>89</v>
      </c>
      <c r="AV2">
        <v>1.88</v>
      </c>
      <c r="AW2" t="s">
        <v>68</v>
      </c>
      <c r="AX2" t="s">
        <v>69</v>
      </c>
    </row>
    <row r="3" spans="1:50">
      <c r="A3" t="s">
        <v>70</v>
      </c>
      <c r="B3">
        <v>43473</v>
      </c>
      <c r="C3">
        <v>52</v>
      </c>
      <c r="D3" t="s">
        <v>53</v>
      </c>
      <c r="E3">
        <v>25.5</v>
      </c>
      <c r="F3" t="s">
        <v>54</v>
      </c>
      <c r="G3" t="s">
        <v>55</v>
      </c>
      <c r="H3" t="s">
        <v>55</v>
      </c>
      <c r="I3" t="s">
        <v>55</v>
      </c>
      <c r="J3" t="s">
        <v>55</v>
      </c>
      <c r="K3" t="s">
        <v>55</v>
      </c>
      <c r="L3" t="s">
        <v>71</v>
      </c>
      <c r="M3" t="s">
        <v>72</v>
      </c>
      <c r="N3">
        <v>534</v>
      </c>
      <c r="O3">
        <v>130</v>
      </c>
      <c r="P3">
        <v>54</v>
      </c>
      <c r="Q3">
        <v>128</v>
      </c>
      <c r="R3">
        <v>95</v>
      </c>
      <c r="S3">
        <v>1</v>
      </c>
      <c r="T3">
        <v>4</v>
      </c>
      <c r="U3" t="s">
        <v>73</v>
      </c>
      <c r="V3" t="s">
        <v>74</v>
      </c>
      <c r="W3">
        <v>2.125</v>
      </c>
      <c r="X3">
        <v>296</v>
      </c>
      <c r="Y3">
        <v>377</v>
      </c>
      <c r="Z3">
        <v>96</v>
      </c>
      <c r="AA3">
        <v>86</v>
      </c>
      <c r="AB3">
        <v>3.27</v>
      </c>
      <c r="AC3">
        <v>5.4</v>
      </c>
      <c r="AD3">
        <v>59</v>
      </c>
      <c r="AE3" t="s">
        <v>55</v>
      </c>
      <c r="AF3" t="s">
        <v>64</v>
      </c>
      <c r="AG3" t="s">
        <v>62</v>
      </c>
      <c r="AH3" t="s">
        <v>63</v>
      </c>
      <c r="AI3" t="s">
        <v>64</v>
      </c>
      <c r="AJ3" t="s">
        <v>55</v>
      </c>
      <c r="AK3" t="s">
        <v>55</v>
      </c>
      <c r="AL3" t="s">
        <v>55</v>
      </c>
      <c r="AM3" t="s">
        <v>75</v>
      </c>
      <c r="AN3" t="s">
        <v>55</v>
      </c>
      <c r="AO3">
        <v>5</v>
      </c>
      <c r="AP3" t="s">
        <v>66</v>
      </c>
      <c r="AQ3" t="s">
        <v>76</v>
      </c>
      <c r="AR3" t="s">
        <v>55</v>
      </c>
      <c r="AS3" t="s">
        <v>55</v>
      </c>
      <c r="AT3" t="s">
        <v>55</v>
      </c>
      <c r="AU3">
        <v>100</v>
      </c>
      <c r="AV3">
        <v>1.39</v>
      </c>
      <c r="AW3" t="s">
        <v>68</v>
      </c>
      <c r="AX3" t="s">
        <v>69</v>
      </c>
    </row>
    <row r="4" spans="1:50">
      <c r="A4" t="s">
        <v>77</v>
      </c>
      <c r="B4">
        <v>43481</v>
      </c>
      <c r="C4">
        <v>35</v>
      </c>
      <c r="D4" t="s">
        <v>53</v>
      </c>
      <c r="E4">
        <v>33.9</v>
      </c>
      <c r="F4" t="s">
        <v>79</v>
      </c>
      <c r="G4" t="s">
        <v>56</v>
      </c>
      <c r="H4" t="s">
        <v>56</v>
      </c>
      <c r="I4" t="s">
        <v>55</v>
      </c>
      <c r="J4" t="s">
        <v>55</v>
      </c>
      <c r="K4" t="s">
        <v>55</v>
      </c>
      <c r="L4" t="s">
        <v>80</v>
      </c>
      <c r="M4" t="s">
        <v>81</v>
      </c>
      <c r="N4">
        <v>1120</v>
      </c>
      <c r="O4">
        <v>86</v>
      </c>
      <c r="P4">
        <v>84</v>
      </c>
      <c r="Q4">
        <v>126</v>
      </c>
      <c r="R4">
        <v>95</v>
      </c>
      <c r="S4">
        <v>1</v>
      </c>
      <c r="T4">
        <v>3</v>
      </c>
      <c r="U4" t="s">
        <v>59</v>
      </c>
      <c r="V4" t="s">
        <v>74</v>
      </c>
      <c r="W4">
        <v>1.0999999999999999E-2</v>
      </c>
      <c r="X4">
        <v>33</v>
      </c>
      <c r="Y4">
        <v>1232</v>
      </c>
      <c r="Z4">
        <v>108</v>
      </c>
      <c r="AA4">
        <v>98</v>
      </c>
      <c r="AB4">
        <v>4.53</v>
      </c>
      <c r="AC4">
        <v>5.7</v>
      </c>
      <c r="AD4">
        <v>33</v>
      </c>
      <c r="AE4" t="s">
        <v>55</v>
      </c>
      <c r="AF4" t="s">
        <v>64</v>
      </c>
      <c r="AG4" t="s">
        <v>82</v>
      </c>
      <c r="AH4" t="s">
        <v>83</v>
      </c>
      <c r="AI4">
        <v>96</v>
      </c>
      <c r="AJ4" t="s">
        <v>55</v>
      </c>
      <c r="AK4" t="s">
        <v>55</v>
      </c>
      <c r="AL4" t="s">
        <v>55</v>
      </c>
      <c r="AM4" t="s">
        <v>84</v>
      </c>
      <c r="AN4" t="s">
        <v>56</v>
      </c>
      <c r="AO4">
        <v>11</v>
      </c>
      <c r="AP4" t="s">
        <v>66</v>
      </c>
      <c r="AQ4" t="s">
        <v>85</v>
      </c>
      <c r="AR4" t="s">
        <v>55</v>
      </c>
      <c r="AS4" t="s">
        <v>56</v>
      </c>
      <c r="AT4" t="s">
        <v>56</v>
      </c>
      <c r="AU4">
        <v>97</v>
      </c>
      <c r="AV4">
        <v>2.39</v>
      </c>
      <c r="AW4" t="s">
        <v>86</v>
      </c>
      <c r="AX4" t="s">
        <v>69</v>
      </c>
    </row>
    <row r="5" spans="1:50">
      <c r="A5" t="s">
        <v>87</v>
      </c>
      <c r="B5">
        <v>43482</v>
      </c>
      <c r="C5">
        <v>71</v>
      </c>
      <c r="D5" t="s">
        <v>89</v>
      </c>
      <c r="E5">
        <v>28.6</v>
      </c>
      <c r="F5" t="s">
        <v>90</v>
      </c>
      <c r="G5" t="s">
        <v>55</v>
      </c>
      <c r="H5" t="s">
        <v>56</v>
      </c>
      <c r="I5" t="s">
        <v>56</v>
      </c>
      <c r="J5" t="s">
        <v>55</v>
      </c>
      <c r="K5" t="s">
        <v>55</v>
      </c>
      <c r="L5" t="s">
        <v>80</v>
      </c>
      <c r="M5" t="s">
        <v>81</v>
      </c>
      <c r="N5">
        <v>2293</v>
      </c>
      <c r="O5">
        <v>116</v>
      </c>
      <c r="P5">
        <v>74</v>
      </c>
      <c r="Q5">
        <v>95</v>
      </c>
      <c r="R5">
        <v>98</v>
      </c>
      <c r="S5">
        <v>1</v>
      </c>
      <c r="T5">
        <v>1</v>
      </c>
      <c r="U5" t="s">
        <v>73</v>
      </c>
      <c r="V5" t="s">
        <v>91</v>
      </c>
      <c r="W5">
        <v>7.0000000000000001E-3</v>
      </c>
      <c r="X5">
        <v>272</v>
      </c>
      <c r="Y5">
        <v>319</v>
      </c>
      <c r="Z5">
        <v>165</v>
      </c>
      <c r="AA5">
        <v>28</v>
      </c>
      <c r="AB5">
        <v>2.5099999999999998</v>
      </c>
      <c r="AC5">
        <v>5.4</v>
      </c>
      <c r="AD5">
        <v>43</v>
      </c>
      <c r="AE5" t="s">
        <v>55</v>
      </c>
      <c r="AF5" t="s">
        <v>64</v>
      </c>
      <c r="AG5" t="s">
        <v>82</v>
      </c>
      <c r="AH5" t="s">
        <v>83</v>
      </c>
      <c r="AI5">
        <v>70</v>
      </c>
      <c r="AJ5" t="s">
        <v>55</v>
      </c>
      <c r="AK5" t="s">
        <v>55</v>
      </c>
      <c r="AL5" t="s">
        <v>55</v>
      </c>
      <c r="AM5" t="s">
        <v>84</v>
      </c>
      <c r="AN5" t="s">
        <v>55</v>
      </c>
      <c r="AO5">
        <v>2</v>
      </c>
      <c r="AP5" t="s">
        <v>66</v>
      </c>
      <c r="AQ5" t="s">
        <v>85</v>
      </c>
      <c r="AR5" t="s">
        <v>55</v>
      </c>
      <c r="AS5" t="s">
        <v>55</v>
      </c>
      <c r="AT5" t="s">
        <v>55</v>
      </c>
      <c r="AU5">
        <v>95</v>
      </c>
      <c r="AV5">
        <v>1.81</v>
      </c>
      <c r="AW5" t="s">
        <v>68</v>
      </c>
      <c r="AX5" t="s">
        <v>69</v>
      </c>
    </row>
    <row r="6" spans="1:50">
      <c r="A6" t="s">
        <v>92</v>
      </c>
      <c r="B6">
        <v>43483</v>
      </c>
      <c r="C6">
        <v>47</v>
      </c>
      <c r="D6" t="s">
        <v>89</v>
      </c>
      <c r="E6">
        <v>22.9</v>
      </c>
      <c r="F6" t="s">
        <v>54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80</v>
      </c>
      <c r="M6" t="s">
        <v>94</v>
      </c>
      <c r="N6">
        <v>3364</v>
      </c>
      <c r="O6">
        <v>139</v>
      </c>
      <c r="P6">
        <v>91</v>
      </c>
      <c r="Q6">
        <v>69</v>
      </c>
      <c r="R6">
        <v>96</v>
      </c>
      <c r="S6">
        <v>3</v>
      </c>
      <c r="T6">
        <v>4</v>
      </c>
      <c r="U6" t="s">
        <v>95</v>
      </c>
      <c r="V6" t="s">
        <v>96</v>
      </c>
      <c r="W6">
        <v>2.4E-2</v>
      </c>
      <c r="X6">
        <v>186</v>
      </c>
      <c r="Y6">
        <v>132</v>
      </c>
      <c r="Z6">
        <v>69</v>
      </c>
      <c r="AA6">
        <v>106</v>
      </c>
      <c r="AB6">
        <v>3.81</v>
      </c>
      <c r="AC6">
        <v>5.3</v>
      </c>
      <c r="AD6">
        <v>41</v>
      </c>
      <c r="AE6" t="s">
        <v>55</v>
      </c>
      <c r="AF6" t="s">
        <v>64</v>
      </c>
      <c r="AG6" t="s">
        <v>97</v>
      </c>
      <c r="AH6" t="s">
        <v>98</v>
      </c>
      <c r="AI6">
        <v>55</v>
      </c>
      <c r="AJ6" t="s">
        <v>55</v>
      </c>
      <c r="AK6" t="s">
        <v>55</v>
      </c>
      <c r="AL6" t="s">
        <v>55</v>
      </c>
      <c r="AM6" t="s">
        <v>84</v>
      </c>
      <c r="AN6" t="s">
        <v>56</v>
      </c>
      <c r="AO6">
        <v>7</v>
      </c>
      <c r="AP6" t="s">
        <v>99</v>
      </c>
      <c r="AQ6" t="s">
        <v>85</v>
      </c>
      <c r="AR6" t="s">
        <v>55</v>
      </c>
      <c r="AS6" t="s">
        <v>55</v>
      </c>
      <c r="AT6" t="s">
        <v>55</v>
      </c>
      <c r="AU6">
        <v>100</v>
      </c>
      <c r="AV6">
        <v>2.2400000000000002</v>
      </c>
      <c r="AW6" t="s">
        <v>86</v>
      </c>
      <c r="AX6" t="s">
        <v>69</v>
      </c>
    </row>
    <row r="7" spans="1:50">
      <c r="A7" t="s">
        <v>100</v>
      </c>
      <c r="B7">
        <v>43486</v>
      </c>
      <c r="C7">
        <v>51</v>
      </c>
      <c r="D7" t="s">
        <v>89</v>
      </c>
      <c r="E7">
        <v>22.2</v>
      </c>
      <c r="F7" t="s">
        <v>54</v>
      </c>
      <c r="G7" t="s">
        <v>55</v>
      </c>
      <c r="H7" t="s">
        <v>56</v>
      </c>
      <c r="I7" t="s">
        <v>55</v>
      </c>
      <c r="J7" t="s">
        <v>55</v>
      </c>
      <c r="K7" t="s">
        <v>55</v>
      </c>
      <c r="L7" t="s">
        <v>101</v>
      </c>
      <c r="M7" t="s">
        <v>102</v>
      </c>
      <c r="N7">
        <v>550</v>
      </c>
      <c r="O7">
        <v>131</v>
      </c>
      <c r="P7">
        <v>102</v>
      </c>
      <c r="Q7">
        <v>140</v>
      </c>
      <c r="R7">
        <v>99</v>
      </c>
      <c r="S7">
        <v>2</v>
      </c>
      <c r="T7">
        <v>1</v>
      </c>
      <c r="U7" t="s">
        <v>73</v>
      </c>
      <c r="V7" t="s">
        <v>60</v>
      </c>
      <c r="W7">
        <v>1.47</v>
      </c>
      <c r="X7">
        <v>93</v>
      </c>
      <c r="Y7">
        <v>349</v>
      </c>
      <c r="Z7">
        <v>90</v>
      </c>
      <c r="AA7">
        <v>88</v>
      </c>
      <c r="AB7">
        <v>2.56</v>
      </c>
      <c r="AC7">
        <v>6.1</v>
      </c>
      <c r="AD7">
        <v>53</v>
      </c>
      <c r="AE7" t="s">
        <v>55</v>
      </c>
      <c r="AF7" t="s">
        <v>64</v>
      </c>
      <c r="AG7" t="s">
        <v>103</v>
      </c>
      <c r="AH7" t="s">
        <v>104</v>
      </c>
      <c r="AI7">
        <v>76</v>
      </c>
      <c r="AJ7" t="s">
        <v>55</v>
      </c>
      <c r="AK7" t="s">
        <v>55</v>
      </c>
      <c r="AL7" t="s">
        <v>56</v>
      </c>
      <c r="AM7" t="s">
        <v>105</v>
      </c>
      <c r="AN7" t="s">
        <v>55</v>
      </c>
      <c r="AO7">
        <v>3</v>
      </c>
      <c r="AP7" t="s">
        <v>66</v>
      </c>
      <c r="AQ7" t="s">
        <v>85</v>
      </c>
      <c r="AR7" t="s">
        <v>55</v>
      </c>
      <c r="AS7" t="s">
        <v>55</v>
      </c>
      <c r="AT7" t="s">
        <v>55</v>
      </c>
      <c r="AU7">
        <v>94</v>
      </c>
      <c r="AV7">
        <v>1.77</v>
      </c>
      <c r="AW7" t="s">
        <v>68</v>
      </c>
      <c r="AX7" t="s">
        <v>69</v>
      </c>
    </row>
    <row r="8" spans="1:50">
      <c r="A8" t="s">
        <v>106</v>
      </c>
      <c r="B8">
        <v>43490</v>
      </c>
      <c r="C8">
        <v>42</v>
      </c>
      <c r="D8" t="s">
        <v>89</v>
      </c>
      <c r="E8">
        <v>26.4</v>
      </c>
      <c r="F8" t="s">
        <v>90</v>
      </c>
      <c r="G8" t="s">
        <v>55</v>
      </c>
      <c r="H8" t="s">
        <v>55</v>
      </c>
      <c r="I8" t="s">
        <v>55</v>
      </c>
      <c r="J8" t="s">
        <v>55</v>
      </c>
      <c r="K8" t="s">
        <v>55</v>
      </c>
      <c r="L8" t="s">
        <v>80</v>
      </c>
      <c r="M8" t="s">
        <v>81</v>
      </c>
      <c r="N8">
        <v>3015</v>
      </c>
      <c r="O8">
        <v>129</v>
      </c>
      <c r="P8">
        <v>87</v>
      </c>
      <c r="Q8">
        <v>72</v>
      </c>
      <c r="R8">
        <v>100</v>
      </c>
      <c r="S8">
        <v>1</v>
      </c>
      <c r="T8">
        <v>2</v>
      </c>
      <c r="U8" t="s">
        <v>66</v>
      </c>
      <c r="V8" t="s">
        <v>74</v>
      </c>
      <c r="W8">
        <v>2.4E-2</v>
      </c>
      <c r="X8">
        <v>103</v>
      </c>
      <c r="Y8">
        <v>543</v>
      </c>
      <c r="Z8">
        <v>91</v>
      </c>
      <c r="AA8">
        <v>102</v>
      </c>
      <c r="AB8">
        <v>4.84</v>
      </c>
      <c r="AC8">
        <v>5.9</v>
      </c>
      <c r="AD8">
        <v>59</v>
      </c>
      <c r="AE8" t="s">
        <v>55</v>
      </c>
      <c r="AF8" t="s">
        <v>64</v>
      </c>
      <c r="AG8" t="s">
        <v>103</v>
      </c>
      <c r="AH8" t="s">
        <v>83</v>
      </c>
      <c r="AI8">
        <v>42</v>
      </c>
      <c r="AJ8" t="s">
        <v>55</v>
      </c>
      <c r="AK8" t="s">
        <v>55</v>
      </c>
      <c r="AL8" t="s">
        <v>56</v>
      </c>
      <c r="AM8" t="s">
        <v>84</v>
      </c>
      <c r="AN8" t="s">
        <v>55</v>
      </c>
      <c r="AO8">
        <v>3</v>
      </c>
      <c r="AP8" t="s">
        <v>66</v>
      </c>
      <c r="AQ8" t="s">
        <v>85</v>
      </c>
      <c r="AR8" t="s">
        <v>55</v>
      </c>
      <c r="AS8" t="s">
        <v>55</v>
      </c>
      <c r="AT8" t="s">
        <v>55</v>
      </c>
      <c r="AU8">
        <v>86</v>
      </c>
      <c r="AV8">
        <v>0.84</v>
      </c>
      <c r="AW8" t="s">
        <v>68</v>
      </c>
      <c r="AX8" t="s">
        <v>69</v>
      </c>
    </row>
    <row r="9" spans="1:50">
      <c r="A9" t="s">
        <v>107</v>
      </c>
      <c r="B9">
        <v>43493</v>
      </c>
      <c r="C9">
        <v>61</v>
      </c>
      <c r="D9" t="s">
        <v>53</v>
      </c>
      <c r="E9">
        <v>22.2</v>
      </c>
      <c r="F9" t="s">
        <v>90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108</v>
      </c>
      <c r="M9" t="s">
        <v>109</v>
      </c>
      <c r="N9">
        <v>1076</v>
      </c>
      <c r="O9">
        <v>98</v>
      </c>
      <c r="P9">
        <v>76</v>
      </c>
      <c r="Q9">
        <v>135</v>
      </c>
      <c r="R9">
        <v>88</v>
      </c>
      <c r="S9">
        <v>3</v>
      </c>
      <c r="T9">
        <v>3</v>
      </c>
      <c r="U9" t="s">
        <v>66</v>
      </c>
      <c r="V9" t="s">
        <v>74</v>
      </c>
      <c r="W9">
        <v>8.7999999999999995E-2</v>
      </c>
      <c r="X9">
        <v>878</v>
      </c>
      <c r="Y9">
        <v>138</v>
      </c>
      <c r="Z9">
        <v>126</v>
      </c>
      <c r="AA9">
        <v>89</v>
      </c>
      <c r="AB9">
        <v>3.42</v>
      </c>
      <c r="AC9">
        <v>5.5</v>
      </c>
      <c r="AD9">
        <v>44</v>
      </c>
      <c r="AE9" t="s">
        <v>55</v>
      </c>
      <c r="AF9" t="s">
        <v>64</v>
      </c>
      <c r="AG9" t="s">
        <v>62</v>
      </c>
      <c r="AH9" t="s">
        <v>63</v>
      </c>
      <c r="AI9" t="s">
        <v>64</v>
      </c>
      <c r="AJ9" t="s">
        <v>55</v>
      </c>
      <c r="AK9" t="s">
        <v>55</v>
      </c>
      <c r="AL9" t="s">
        <v>55</v>
      </c>
      <c r="AM9" t="s">
        <v>110</v>
      </c>
      <c r="AN9" t="s">
        <v>56</v>
      </c>
      <c r="AO9">
        <v>7</v>
      </c>
      <c r="AP9" t="s">
        <v>66</v>
      </c>
      <c r="AQ9" t="s">
        <v>76</v>
      </c>
      <c r="AR9" t="s">
        <v>55</v>
      </c>
      <c r="AS9" t="s">
        <v>55</v>
      </c>
      <c r="AT9" t="s">
        <v>55</v>
      </c>
      <c r="AU9">
        <v>89</v>
      </c>
      <c r="AV9">
        <v>3.59</v>
      </c>
      <c r="AW9" t="s">
        <v>86</v>
      </c>
      <c r="AX9" t="s">
        <v>69</v>
      </c>
    </row>
    <row r="10" spans="1:50">
      <c r="A10" t="s">
        <v>111</v>
      </c>
      <c r="B10">
        <v>43493</v>
      </c>
      <c r="C10">
        <v>70</v>
      </c>
      <c r="D10" t="s">
        <v>53</v>
      </c>
      <c r="E10">
        <v>29.8</v>
      </c>
      <c r="F10" t="s">
        <v>54</v>
      </c>
      <c r="G10" t="s">
        <v>55</v>
      </c>
      <c r="H10" t="s">
        <v>56</v>
      </c>
      <c r="I10" t="s">
        <v>55</v>
      </c>
      <c r="J10" t="s">
        <v>55</v>
      </c>
      <c r="K10" t="s">
        <v>55</v>
      </c>
      <c r="L10" t="s">
        <v>108</v>
      </c>
      <c r="M10" t="s">
        <v>109</v>
      </c>
      <c r="N10">
        <v>3471</v>
      </c>
      <c r="O10">
        <v>128</v>
      </c>
      <c r="P10">
        <v>99</v>
      </c>
      <c r="Q10">
        <v>65</v>
      </c>
      <c r="R10">
        <v>86</v>
      </c>
      <c r="S10">
        <v>2</v>
      </c>
      <c r="T10">
        <v>3</v>
      </c>
      <c r="U10" t="s">
        <v>73</v>
      </c>
      <c r="V10" t="s">
        <v>91</v>
      </c>
      <c r="W10">
        <v>0.248</v>
      </c>
      <c r="X10">
        <v>2043</v>
      </c>
      <c r="Y10">
        <v>151</v>
      </c>
      <c r="Z10">
        <v>81</v>
      </c>
      <c r="AA10">
        <v>84</v>
      </c>
      <c r="AB10">
        <v>3.45</v>
      </c>
      <c r="AC10">
        <v>5.0999999999999996</v>
      </c>
      <c r="AD10">
        <v>21</v>
      </c>
      <c r="AE10" t="s">
        <v>55</v>
      </c>
      <c r="AF10" t="s">
        <v>64</v>
      </c>
      <c r="AG10" t="s">
        <v>62</v>
      </c>
      <c r="AH10" t="s">
        <v>63</v>
      </c>
      <c r="AI10" t="s">
        <v>64</v>
      </c>
      <c r="AJ10" t="s">
        <v>55</v>
      </c>
      <c r="AK10" t="s">
        <v>55</v>
      </c>
      <c r="AL10" t="s">
        <v>55</v>
      </c>
      <c r="AM10" t="s">
        <v>110</v>
      </c>
      <c r="AN10" t="s">
        <v>56</v>
      </c>
      <c r="AO10">
        <v>9</v>
      </c>
      <c r="AP10" t="s">
        <v>66</v>
      </c>
      <c r="AQ10" t="s">
        <v>76</v>
      </c>
      <c r="AR10" t="s">
        <v>55</v>
      </c>
      <c r="AS10" t="s">
        <v>55</v>
      </c>
      <c r="AT10" t="s">
        <v>55</v>
      </c>
      <c r="AU10">
        <v>87</v>
      </c>
      <c r="AV10">
        <v>2.6</v>
      </c>
      <c r="AW10" t="s">
        <v>86</v>
      </c>
      <c r="AX10" t="s">
        <v>69</v>
      </c>
    </row>
    <row r="11" spans="1:50">
      <c r="A11" t="s">
        <v>112</v>
      </c>
      <c r="B11">
        <v>43499</v>
      </c>
      <c r="C11">
        <v>60</v>
      </c>
      <c r="D11" t="s">
        <v>53</v>
      </c>
      <c r="E11">
        <v>24.3</v>
      </c>
      <c r="F11" t="s">
        <v>54</v>
      </c>
      <c r="G11" t="s">
        <v>56</v>
      </c>
      <c r="H11" t="s">
        <v>56</v>
      </c>
      <c r="I11" t="s">
        <v>55</v>
      </c>
      <c r="J11" t="s">
        <v>55</v>
      </c>
      <c r="K11" t="s">
        <v>55</v>
      </c>
      <c r="L11" t="s">
        <v>108</v>
      </c>
      <c r="M11" t="s">
        <v>113</v>
      </c>
      <c r="N11">
        <v>2343</v>
      </c>
      <c r="O11">
        <v>158</v>
      </c>
      <c r="P11">
        <v>90</v>
      </c>
      <c r="Q11">
        <v>65</v>
      </c>
      <c r="R11">
        <v>87</v>
      </c>
      <c r="S11">
        <v>3</v>
      </c>
      <c r="T11">
        <v>2</v>
      </c>
      <c r="U11" t="s">
        <v>73</v>
      </c>
      <c r="V11" t="s">
        <v>91</v>
      </c>
      <c r="W11">
        <v>3.5000000000000003E-2</v>
      </c>
      <c r="X11">
        <v>1580</v>
      </c>
      <c r="Y11">
        <v>543</v>
      </c>
      <c r="Z11">
        <v>107</v>
      </c>
      <c r="AA11">
        <v>86</v>
      </c>
      <c r="AB11">
        <v>2.7</v>
      </c>
      <c r="AC11">
        <v>7.9</v>
      </c>
      <c r="AD11">
        <v>25</v>
      </c>
      <c r="AE11" t="s">
        <v>55</v>
      </c>
      <c r="AF11" t="s">
        <v>64</v>
      </c>
      <c r="AG11" t="s">
        <v>62</v>
      </c>
      <c r="AH11" t="s">
        <v>63</v>
      </c>
      <c r="AI11" t="s">
        <v>64</v>
      </c>
      <c r="AJ11" t="s">
        <v>55</v>
      </c>
      <c r="AK11" t="s">
        <v>55</v>
      </c>
      <c r="AL11" t="s">
        <v>55</v>
      </c>
      <c r="AM11" t="s">
        <v>110</v>
      </c>
      <c r="AN11" t="s">
        <v>56</v>
      </c>
      <c r="AO11">
        <v>9</v>
      </c>
      <c r="AP11" t="s">
        <v>114</v>
      </c>
      <c r="AQ11" t="s">
        <v>76</v>
      </c>
      <c r="AR11" t="s">
        <v>55</v>
      </c>
      <c r="AS11" t="s">
        <v>55</v>
      </c>
      <c r="AT11" t="s">
        <v>55</v>
      </c>
      <c r="AU11">
        <v>82</v>
      </c>
      <c r="AV11">
        <v>2.8</v>
      </c>
      <c r="AW11" t="s">
        <v>86</v>
      </c>
      <c r="AX11" t="s">
        <v>115</v>
      </c>
    </row>
    <row r="12" spans="1:50">
      <c r="A12" t="s">
        <v>116</v>
      </c>
      <c r="B12">
        <v>43501</v>
      </c>
      <c r="C12">
        <v>53</v>
      </c>
      <c r="D12" t="s">
        <v>53</v>
      </c>
      <c r="E12">
        <v>23.1</v>
      </c>
      <c r="F12" t="s">
        <v>90</v>
      </c>
      <c r="G12" t="s">
        <v>55</v>
      </c>
      <c r="H12" t="s">
        <v>56</v>
      </c>
      <c r="I12" t="s">
        <v>55</v>
      </c>
      <c r="J12" t="s">
        <v>55</v>
      </c>
      <c r="K12" t="s">
        <v>55</v>
      </c>
      <c r="L12" t="s">
        <v>108</v>
      </c>
      <c r="M12" t="s">
        <v>117</v>
      </c>
      <c r="N12">
        <v>2966</v>
      </c>
      <c r="O12">
        <v>185</v>
      </c>
      <c r="P12">
        <v>93</v>
      </c>
      <c r="Q12">
        <v>106</v>
      </c>
      <c r="R12">
        <v>80</v>
      </c>
      <c r="S12">
        <v>3</v>
      </c>
      <c r="T12">
        <v>3</v>
      </c>
      <c r="U12" t="s">
        <v>59</v>
      </c>
      <c r="V12" t="s">
        <v>91</v>
      </c>
      <c r="W12">
        <v>6.9000000000000006E-2</v>
      </c>
      <c r="X12">
        <v>2601</v>
      </c>
      <c r="Y12">
        <v>1814</v>
      </c>
      <c r="Z12">
        <v>97</v>
      </c>
      <c r="AA12">
        <v>103</v>
      </c>
      <c r="AB12">
        <v>2.19</v>
      </c>
      <c r="AC12">
        <v>5.7</v>
      </c>
      <c r="AD12">
        <v>40</v>
      </c>
      <c r="AE12" t="s">
        <v>55</v>
      </c>
      <c r="AF12" t="s">
        <v>64</v>
      </c>
      <c r="AG12" t="s">
        <v>62</v>
      </c>
      <c r="AH12" t="s">
        <v>63</v>
      </c>
      <c r="AI12" t="s">
        <v>64</v>
      </c>
      <c r="AJ12" t="s">
        <v>55</v>
      </c>
      <c r="AK12" t="s">
        <v>55</v>
      </c>
      <c r="AL12" t="s">
        <v>55</v>
      </c>
      <c r="AM12" t="s">
        <v>110</v>
      </c>
      <c r="AN12" t="s">
        <v>56</v>
      </c>
      <c r="AO12">
        <v>10</v>
      </c>
      <c r="AP12" t="s">
        <v>114</v>
      </c>
      <c r="AQ12" t="s">
        <v>76</v>
      </c>
      <c r="AR12" t="s">
        <v>56</v>
      </c>
      <c r="AS12" t="s">
        <v>55</v>
      </c>
      <c r="AT12" t="s">
        <v>56</v>
      </c>
      <c r="AU12">
        <v>81</v>
      </c>
      <c r="AV12">
        <v>2.66</v>
      </c>
      <c r="AW12" t="s">
        <v>86</v>
      </c>
      <c r="AX12" t="s">
        <v>115</v>
      </c>
    </row>
    <row r="13" spans="1:50">
      <c r="A13" t="s">
        <v>118</v>
      </c>
      <c r="B13">
        <v>43501</v>
      </c>
      <c r="C13">
        <v>51</v>
      </c>
      <c r="D13" t="s">
        <v>53</v>
      </c>
      <c r="E13">
        <v>26.6</v>
      </c>
      <c r="F13" t="s">
        <v>79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80</v>
      </c>
      <c r="M13" t="s">
        <v>94</v>
      </c>
      <c r="N13">
        <v>785</v>
      </c>
      <c r="O13">
        <v>100</v>
      </c>
      <c r="P13">
        <v>67</v>
      </c>
      <c r="Q13">
        <v>47</v>
      </c>
      <c r="R13">
        <v>95</v>
      </c>
      <c r="S13">
        <v>1</v>
      </c>
      <c r="T13">
        <v>2</v>
      </c>
      <c r="U13" t="s">
        <v>73</v>
      </c>
      <c r="V13" t="s">
        <v>60</v>
      </c>
      <c r="W13">
        <v>1.6E-2</v>
      </c>
      <c r="X13">
        <v>858</v>
      </c>
      <c r="Y13">
        <v>1284</v>
      </c>
      <c r="Z13">
        <v>114</v>
      </c>
      <c r="AA13">
        <v>96</v>
      </c>
      <c r="AB13">
        <v>4.29</v>
      </c>
      <c r="AC13">
        <v>6.4</v>
      </c>
      <c r="AD13">
        <v>47</v>
      </c>
      <c r="AE13" t="s">
        <v>55</v>
      </c>
      <c r="AF13" t="s">
        <v>64</v>
      </c>
      <c r="AG13" t="s">
        <v>62</v>
      </c>
      <c r="AH13" t="s">
        <v>120</v>
      </c>
      <c r="AI13">
        <v>76</v>
      </c>
      <c r="AJ13" t="s">
        <v>55</v>
      </c>
      <c r="AK13" t="s">
        <v>55</v>
      </c>
      <c r="AL13" t="s">
        <v>55</v>
      </c>
      <c r="AM13" t="s">
        <v>84</v>
      </c>
      <c r="AN13" t="s">
        <v>55</v>
      </c>
      <c r="AO13">
        <v>1</v>
      </c>
      <c r="AP13" t="s">
        <v>66</v>
      </c>
      <c r="AQ13" t="s">
        <v>85</v>
      </c>
      <c r="AR13" t="s">
        <v>56</v>
      </c>
      <c r="AS13" t="s">
        <v>55</v>
      </c>
      <c r="AT13" t="s">
        <v>56</v>
      </c>
      <c r="AU13">
        <v>94</v>
      </c>
      <c r="AV13">
        <v>1.72</v>
      </c>
      <c r="AW13" t="s">
        <v>68</v>
      </c>
      <c r="AX13" t="s">
        <v>69</v>
      </c>
    </row>
    <row r="14" spans="1:50">
      <c r="A14" t="s">
        <v>121</v>
      </c>
      <c r="B14">
        <v>43502</v>
      </c>
      <c r="C14">
        <v>57</v>
      </c>
      <c r="D14" t="s">
        <v>53</v>
      </c>
      <c r="E14">
        <v>19.8</v>
      </c>
      <c r="F14" t="s">
        <v>90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101</v>
      </c>
      <c r="M14" t="s">
        <v>102</v>
      </c>
      <c r="N14">
        <v>1414</v>
      </c>
      <c r="O14">
        <v>85</v>
      </c>
      <c r="P14">
        <v>80</v>
      </c>
      <c r="Q14">
        <v>100</v>
      </c>
      <c r="R14">
        <v>96</v>
      </c>
      <c r="S14">
        <v>1</v>
      </c>
      <c r="T14">
        <v>2</v>
      </c>
      <c r="U14" t="s">
        <v>66</v>
      </c>
      <c r="V14" t="s">
        <v>91</v>
      </c>
      <c r="W14">
        <v>0.98799999999999999</v>
      </c>
      <c r="X14">
        <v>228</v>
      </c>
      <c r="Y14">
        <v>414</v>
      </c>
      <c r="Z14">
        <v>58</v>
      </c>
      <c r="AA14">
        <v>107</v>
      </c>
      <c r="AB14">
        <v>3.91</v>
      </c>
      <c r="AC14">
        <v>5.3</v>
      </c>
      <c r="AD14">
        <v>54</v>
      </c>
      <c r="AE14" t="s">
        <v>55</v>
      </c>
      <c r="AF14" t="s">
        <v>64</v>
      </c>
      <c r="AG14" t="s">
        <v>97</v>
      </c>
      <c r="AH14" t="s">
        <v>98</v>
      </c>
      <c r="AI14">
        <v>64</v>
      </c>
      <c r="AJ14" t="s">
        <v>55</v>
      </c>
      <c r="AK14" t="s">
        <v>55</v>
      </c>
      <c r="AL14" t="s">
        <v>56</v>
      </c>
      <c r="AM14" t="s">
        <v>105</v>
      </c>
      <c r="AN14" t="s">
        <v>56</v>
      </c>
      <c r="AO14">
        <v>9</v>
      </c>
      <c r="AP14" t="s">
        <v>66</v>
      </c>
      <c r="AQ14" t="s">
        <v>85</v>
      </c>
      <c r="AR14" t="s">
        <v>55</v>
      </c>
      <c r="AS14" t="s">
        <v>55</v>
      </c>
      <c r="AT14" t="s">
        <v>56</v>
      </c>
      <c r="AU14">
        <v>84</v>
      </c>
      <c r="AV14">
        <v>2.87</v>
      </c>
      <c r="AW14" t="s">
        <v>86</v>
      </c>
      <c r="AX14" t="s">
        <v>115</v>
      </c>
    </row>
    <row r="15" spans="1:50">
      <c r="A15" t="s">
        <v>122</v>
      </c>
      <c r="B15">
        <v>43507</v>
      </c>
      <c r="C15">
        <v>46</v>
      </c>
      <c r="D15" t="s">
        <v>53</v>
      </c>
      <c r="E15">
        <v>21.8</v>
      </c>
      <c r="F15" t="s">
        <v>90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123</v>
      </c>
      <c r="M15" t="s">
        <v>124</v>
      </c>
      <c r="N15">
        <v>2460</v>
      </c>
      <c r="O15">
        <v>139</v>
      </c>
      <c r="P15">
        <v>74</v>
      </c>
      <c r="Q15">
        <v>59</v>
      </c>
      <c r="R15">
        <v>98</v>
      </c>
      <c r="S15">
        <v>1</v>
      </c>
      <c r="T15">
        <v>2</v>
      </c>
      <c r="U15" t="s">
        <v>73</v>
      </c>
      <c r="V15" t="s">
        <v>74</v>
      </c>
      <c r="W15">
        <v>0.105</v>
      </c>
      <c r="X15">
        <v>393</v>
      </c>
      <c r="Y15">
        <v>885</v>
      </c>
      <c r="Z15">
        <v>109</v>
      </c>
      <c r="AA15">
        <v>115</v>
      </c>
      <c r="AB15">
        <v>2.61</v>
      </c>
      <c r="AC15">
        <v>5.3</v>
      </c>
      <c r="AD15">
        <v>70</v>
      </c>
      <c r="AE15" t="s">
        <v>55</v>
      </c>
      <c r="AF15" t="s">
        <v>64</v>
      </c>
      <c r="AG15" t="s">
        <v>62</v>
      </c>
      <c r="AH15" t="s">
        <v>63</v>
      </c>
      <c r="AI15" t="s">
        <v>64</v>
      </c>
      <c r="AJ15" t="s">
        <v>55</v>
      </c>
      <c r="AK15" t="s">
        <v>55</v>
      </c>
      <c r="AL15" t="s">
        <v>56</v>
      </c>
      <c r="AM15" t="s">
        <v>125</v>
      </c>
      <c r="AN15" t="s">
        <v>55</v>
      </c>
      <c r="AO15">
        <v>6</v>
      </c>
      <c r="AP15" t="s">
        <v>66</v>
      </c>
      <c r="AQ15" t="s">
        <v>126</v>
      </c>
      <c r="AR15" t="s">
        <v>55</v>
      </c>
      <c r="AS15" t="s">
        <v>55</v>
      </c>
      <c r="AT15" t="s">
        <v>55</v>
      </c>
      <c r="AU15">
        <v>73</v>
      </c>
      <c r="AV15">
        <v>0.92</v>
      </c>
      <c r="AW15" t="s">
        <v>68</v>
      </c>
      <c r="AX15" t="s">
        <v>115</v>
      </c>
    </row>
    <row r="16" spans="1:50">
      <c r="A16" t="s">
        <v>127</v>
      </c>
      <c r="B16">
        <v>43512</v>
      </c>
      <c r="C16">
        <v>73</v>
      </c>
      <c r="D16" t="s">
        <v>89</v>
      </c>
      <c r="E16">
        <v>29.9</v>
      </c>
      <c r="F16" t="s">
        <v>54</v>
      </c>
      <c r="G16" t="s">
        <v>55</v>
      </c>
      <c r="H16" t="s">
        <v>56</v>
      </c>
      <c r="I16" t="s">
        <v>55</v>
      </c>
      <c r="J16" t="s">
        <v>55</v>
      </c>
      <c r="K16" t="s">
        <v>55</v>
      </c>
      <c r="L16" t="s">
        <v>108</v>
      </c>
      <c r="M16" t="s">
        <v>109</v>
      </c>
      <c r="N16">
        <v>1657</v>
      </c>
      <c r="O16">
        <v>102</v>
      </c>
      <c r="P16">
        <v>82</v>
      </c>
      <c r="Q16">
        <v>86</v>
      </c>
      <c r="R16">
        <v>95</v>
      </c>
      <c r="S16">
        <v>3</v>
      </c>
      <c r="T16">
        <v>3</v>
      </c>
      <c r="U16" t="s">
        <v>73</v>
      </c>
      <c r="V16" t="s">
        <v>91</v>
      </c>
      <c r="W16">
        <v>0.19400000000000001</v>
      </c>
      <c r="X16">
        <v>2236</v>
      </c>
      <c r="Y16">
        <v>283</v>
      </c>
      <c r="Z16">
        <v>122</v>
      </c>
      <c r="AA16">
        <v>69</v>
      </c>
      <c r="AB16">
        <v>2.2799999999999998</v>
      </c>
      <c r="AC16">
        <v>6.1</v>
      </c>
      <c r="AD16">
        <v>39</v>
      </c>
      <c r="AE16" t="s">
        <v>55</v>
      </c>
      <c r="AF16" t="s">
        <v>64</v>
      </c>
      <c r="AG16" t="s">
        <v>62</v>
      </c>
      <c r="AH16" t="s">
        <v>63</v>
      </c>
      <c r="AI16" t="s">
        <v>64</v>
      </c>
      <c r="AJ16" t="s">
        <v>55</v>
      </c>
      <c r="AK16" t="s">
        <v>55</v>
      </c>
      <c r="AL16" t="s">
        <v>56</v>
      </c>
      <c r="AM16" t="s">
        <v>110</v>
      </c>
      <c r="AN16" t="s">
        <v>56</v>
      </c>
      <c r="AO16">
        <v>10</v>
      </c>
      <c r="AP16" t="s">
        <v>66</v>
      </c>
      <c r="AQ16" t="s">
        <v>76</v>
      </c>
      <c r="AR16" t="s">
        <v>56</v>
      </c>
      <c r="AS16" t="s">
        <v>55</v>
      </c>
      <c r="AT16" t="s">
        <v>56</v>
      </c>
      <c r="AU16">
        <v>80</v>
      </c>
      <c r="AV16">
        <v>3.39</v>
      </c>
      <c r="AW16" t="s">
        <v>86</v>
      </c>
      <c r="AX16" t="s">
        <v>115</v>
      </c>
    </row>
    <row r="17" spans="1:50">
      <c r="A17" t="s">
        <v>128</v>
      </c>
      <c r="B17">
        <v>43513</v>
      </c>
      <c r="C17">
        <v>56</v>
      </c>
      <c r="D17" t="s">
        <v>89</v>
      </c>
      <c r="E17">
        <v>26</v>
      </c>
      <c r="F17" t="s">
        <v>54</v>
      </c>
      <c r="G17" t="s">
        <v>56</v>
      </c>
      <c r="H17" t="s">
        <v>56</v>
      </c>
      <c r="I17" t="s">
        <v>55</v>
      </c>
      <c r="J17" t="s">
        <v>56</v>
      </c>
      <c r="K17" t="s">
        <v>55</v>
      </c>
      <c r="L17" t="s">
        <v>101</v>
      </c>
      <c r="M17" t="s">
        <v>129</v>
      </c>
      <c r="N17">
        <v>1021</v>
      </c>
      <c r="O17">
        <v>144</v>
      </c>
      <c r="P17">
        <v>61</v>
      </c>
      <c r="Q17">
        <v>116</v>
      </c>
      <c r="R17">
        <v>91</v>
      </c>
      <c r="S17">
        <v>1</v>
      </c>
      <c r="T17">
        <v>1</v>
      </c>
      <c r="U17" t="s">
        <v>73</v>
      </c>
      <c r="V17" t="s">
        <v>74</v>
      </c>
      <c r="W17">
        <v>3.9279999999999999</v>
      </c>
      <c r="X17">
        <v>131</v>
      </c>
      <c r="Y17">
        <v>309</v>
      </c>
      <c r="Z17">
        <v>84</v>
      </c>
      <c r="AA17">
        <v>83</v>
      </c>
      <c r="AB17">
        <v>3.08</v>
      </c>
      <c r="AC17">
        <v>9.1</v>
      </c>
      <c r="AD17">
        <v>63</v>
      </c>
      <c r="AE17" t="s">
        <v>56</v>
      </c>
      <c r="AF17" t="s">
        <v>64</v>
      </c>
      <c r="AG17" t="s">
        <v>82</v>
      </c>
      <c r="AH17" t="s">
        <v>104</v>
      </c>
      <c r="AI17">
        <v>69</v>
      </c>
      <c r="AJ17" t="s">
        <v>55</v>
      </c>
      <c r="AK17" t="s">
        <v>55</v>
      </c>
      <c r="AL17" t="s">
        <v>56</v>
      </c>
      <c r="AM17" t="s">
        <v>105</v>
      </c>
      <c r="AN17" t="s">
        <v>55</v>
      </c>
      <c r="AO17">
        <v>2</v>
      </c>
      <c r="AP17" t="s">
        <v>66</v>
      </c>
      <c r="AQ17" t="s">
        <v>85</v>
      </c>
      <c r="AR17" t="s">
        <v>55</v>
      </c>
      <c r="AS17" t="s">
        <v>55</v>
      </c>
      <c r="AT17" t="s">
        <v>55</v>
      </c>
      <c r="AU17">
        <v>100</v>
      </c>
      <c r="AV17">
        <v>1.77</v>
      </c>
      <c r="AW17" t="s">
        <v>68</v>
      </c>
      <c r="AX17" t="s">
        <v>69</v>
      </c>
    </row>
    <row r="18" spans="1:50">
      <c r="A18" t="s">
        <v>130</v>
      </c>
      <c r="B18">
        <v>43515</v>
      </c>
      <c r="C18">
        <v>66</v>
      </c>
      <c r="D18" t="s">
        <v>53</v>
      </c>
      <c r="E18">
        <v>28.9</v>
      </c>
      <c r="F18" t="s">
        <v>90</v>
      </c>
      <c r="G18" t="s">
        <v>55</v>
      </c>
      <c r="H18" t="s">
        <v>56</v>
      </c>
      <c r="I18" t="s">
        <v>55</v>
      </c>
      <c r="J18" t="s">
        <v>55</v>
      </c>
      <c r="K18" t="s">
        <v>55</v>
      </c>
      <c r="L18" t="s">
        <v>131</v>
      </c>
      <c r="M18" t="s">
        <v>132</v>
      </c>
      <c r="N18">
        <v>184</v>
      </c>
      <c r="O18">
        <v>70</v>
      </c>
      <c r="P18">
        <v>69</v>
      </c>
      <c r="Q18">
        <v>71</v>
      </c>
      <c r="R18">
        <v>97</v>
      </c>
      <c r="S18">
        <v>3</v>
      </c>
      <c r="T18">
        <v>2</v>
      </c>
      <c r="U18" t="s">
        <v>59</v>
      </c>
      <c r="V18" t="s">
        <v>96</v>
      </c>
      <c r="W18">
        <v>24.135999999999999</v>
      </c>
      <c r="X18">
        <v>140</v>
      </c>
      <c r="Y18">
        <v>564</v>
      </c>
      <c r="Z18">
        <v>81</v>
      </c>
      <c r="AA18">
        <v>84</v>
      </c>
      <c r="AB18">
        <v>2.15</v>
      </c>
      <c r="AC18">
        <v>5.2</v>
      </c>
      <c r="AD18">
        <v>55</v>
      </c>
      <c r="AE18" t="s">
        <v>55</v>
      </c>
      <c r="AF18" t="s">
        <v>64</v>
      </c>
      <c r="AG18" t="s">
        <v>82</v>
      </c>
      <c r="AH18" t="s">
        <v>133</v>
      </c>
      <c r="AI18">
        <v>83</v>
      </c>
      <c r="AJ18" t="s">
        <v>56</v>
      </c>
      <c r="AK18" t="s">
        <v>55</v>
      </c>
      <c r="AL18" t="s">
        <v>56</v>
      </c>
      <c r="AM18" t="s">
        <v>134</v>
      </c>
      <c r="AN18" t="s">
        <v>56</v>
      </c>
      <c r="AO18">
        <v>9</v>
      </c>
      <c r="AP18" t="s">
        <v>66</v>
      </c>
      <c r="AQ18" t="s">
        <v>85</v>
      </c>
      <c r="AR18" t="s">
        <v>56</v>
      </c>
      <c r="AS18" t="s">
        <v>55</v>
      </c>
      <c r="AT18" t="s">
        <v>56</v>
      </c>
      <c r="AU18">
        <v>85</v>
      </c>
      <c r="AV18">
        <v>4.72</v>
      </c>
      <c r="AW18" t="s">
        <v>135</v>
      </c>
      <c r="AX18" t="s">
        <v>69</v>
      </c>
    </row>
    <row r="19" spans="1:50">
      <c r="A19" t="s">
        <v>136</v>
      </c>
      <c r="B19">
        <v>43516</v>
      </c>
      <c r="C19">
        <v>67</v>
      </c>
      <c r="D19" t="s">
        <v>53</v>
      </c>
      <c r="E19">
        <v>31.1</v>
      </c>
      <c r="F19" t="s">
        <v>90</v>
      </c>
      <c r="G19" t="s">
        <v>55</v>
      </c>
      <c r="H19" t="s">
        <v>55</v>
      </c>
      <c r="I19" t="s">
        <v>55</v>
      </c>
      <c r="J19" t="s">
        <v>55</v>
      </c>
      <c r="K19" t="s">
        <v>55</v>
      </c>
      <c r="L19" t="s">
        <v>108</v>
      </c>
      <c r="M19" t="s">
        <v>117</v>
      </c>
      <c r="N19">
        <v>1467</v>
      </c>
      <c r="O19">
        <v>179</v>
      </c>
      <c r="P19">
        <v>73</v>
      </c>
      <c r="Q19">
        <v>113</v>
      </c>
      <c r="R19">
        <v>90</v>
      </c>
      <c r="S19">
        <v>3</v>
      </c>
      <c r="T19">
        <v>2</v>
      </c>
      <c r="U19" t="s">
        <v>73</v>
      </c>
      <c r="V19" t="s">
        <v>137</v>
      </c>
      <c r="W19">
        <v>1.9E-2</v>
      </c>
      <c r="X19">
        <v>629</v>
      </c>
      <c r="Y19">
        <v>305</v>
      </c>
      <c r="Z19">
        <v>82</v>
      </c>
      <c r="AA19">
        <v>75</v>
      </c>
      <c r="AB19">
        <v>3.18</v>
      </c>
      <c r="AC19">
        <v>6.1</v>
      </c>
      <c r="AD19">
        <v>20</v>
      </c>
      <c r="AE19" t="s">
        <v>55</v>
      </c>
      <c r="AF19" t="s">
        <v>64</v>
      </c>
      <c r="AG19" t="s">
        <v>62</v>
      </c>
      <c r="AH19" t="s">
        <v>63</v>
      </c>
      <c r="AI19" t="s">
        <v>64</v>
      </c>
      <c r="AJ19" t="s">
        <v>55</v>
      </c>
      <c r="AK19" t="s">
        <v>55</v>
      </c>
      <c r="AL19" t="s">
        <v>56</v>
      </c>
      <c r="AM19" t="s">
        <v>110</v>
      </c>
      <c r="AN19" t="s">
        <v>56</v>
      </c>
      <c r="AO19">
        <v>9</v>
      </c>
      <c r="AP19" t="s">
        <v>99</v>
      </c>
      <c r="AQ19" t="s">
        <v>76</v>
      </c>
      <c r="AR19" t="s">
        <v>55</v>
      </c>
      <c r="AS19" t="s">
        <v>55</v>
      </c>
      <c r="AT19" t="s">
        <v>55</v>
      </c>
      <c r="AU19">
        <v>96</v>
      </c>
      <c r="AV19">
        <v>2.94</v>
      </c>
      <c r="AW19" t="s">
        <v>86</v>
      </c>
      <c r="AX19" t="s">
        <v>69</v>
      </c>
    </row>
    <row r="20" spans="1:50">
      <c r="A20" t="s">
        <v>138</v>
      </c>
      <c r="B20">
        <v>43517</v>
      </c>
      <c r="C20">
        <v>33</v>
      </c>
      <c r="D20" t="s">
        <v>53</v>
      </c>
      <c r="E20">
        <v>27.2</v>
      </c>
      <c r="F20" t="s">
        <v>79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101</v>
      </c>
      <c r="M20" t="s">
        <v>129</v>
      </c>
      <c r="N20">
        <v>768</v>
      </c>
      <c r="O20">
        <v>117</v>
      </c>
      <c r="P20">
        <v>100</v>
      </c>
      <c r="Q20">
        <v>116</v>
      </c>
      <c r="R20">
        <v>94</v>
      </c>
      <c r="S20">
        <v>1</v>
      </c>
      <c r="T20">
        <v>2</v>
      </c>
      <c r="U20" t="s">
        <v>95</v>
      </c>
      <c r="V20" t="s">
        <v>96</v>
      </c>
      <c r="W20">
        <v>2.448</v>
      </c>
      <c r="X20">
        <v>216</v>
      </c>
      <c r="Y20">
        <v>210</v>
      </c>
      <c r="Z20">
        <v>78</v>
      </c>
      <c r="AA20">
        <v>124</v>
      </c>
      <c r="AB20">
        <v>3.49</v>
      </c>
      <c r="AC20">
        <v>5.3</v>
      </c>
      <c r="AD20">
        <v>71</v>
      </c>
      <c r="AE20" t="s">
        <v>55</v>
      </c>
      <c r="AF20" t="s">
        <v>64</v>
      </c>
      <c r="AG20" t="s">
        <v>62</v>
      </c>
      <c r="AH20" t="s">
        <v>120</v>
      </c>
      <c r="AI20">
        <v>89</v>
      </c>
      <c r="AJ20" t="s">
        <v>55</v>
      </c>
      <c r="AK20" t="s">
        <v>55</v>
      </c>
      <c r="AL20" t="s">
        <v>56</v>
      </c>
      <c r="AM20" t="s">
        <v>105</v>
      </c>
      <c r="AN20" t="s">
        <v>55</v>
      </c>
      <c r="AO20">
        <v>2</v>
      </c>
      <c r="AP20" t="s">
        <v>66</v>
      </c>
      <c r="AQ20" t="s">
        <v>85</v>
      </c>
      <c r="AR20" t="s">
        <v>55</v>
      </c>
      <c r="AS20" t="s">
        <v>55</v>
      </c>
      <c r="AT20" t="s">
        <v>55</v>
      </c>
      <c r="AU20">
        <v>98</v>
      </c>
      <c r="AV20">
        <v>1.1100000000000001</v>
      </c>
      <c r="AW20" t="s">
        <v>68</v>
      </c>
      <c r="AX20" t="s">
        <v>69</v>
      </c>
    </row>
    <row r="21" spans="1:50">
      <c r="A21" t="s">
        <v>139</v>
      </c>
      <c r="B21">
        <v>43518</v>
      </c>
      <c r="C21">
        <v>86</v>
      </c>
      <c r="D21" t="s">
        <v>53</v>
      </c>
      <c r="E21">
        <v>23.7</v>
      </c>
      <c r="F21" t="s">
        <v>54</v>
      </c>
      <c r="G21" t="s">
        <v>55</v>
      </c>
      <c r="H21" t="s">
        <v>55</v>
      </c>
      <c r="I21" t="s">
        <v>56</v>
      </c>
      <c r="J21" t="s">
        <v>55</v>
      </c>
      <c r="K21" t="s">
        <v>55</v>
      </c>
      <c r="L21" t="s">
        <v>131</v>
      </c>
      <c r="M21" t="s">
        <v>140</v>
      </c>
      <c r="N21">
        <v>153</v>
      </c>
      <c r="O21">
        <v>130</v>
      </c>
      <c r="P21">
        <v>63</v>
      </c>
      <c r="Q21">
        <v>68</v>
      </c>
      <c r="R21">
        <v>94</v>
      </c>
      <c r="S21">
        <v>3</v>
      </c>
      <c r="T21">
        <v>3</v>
      </c>
      <c r="U21" t="s">
        <v>59</v>
      </c>
      <c r="V21" t="s">
        <v>96</v>
      </c>
      <c r="W21">
        <v>10.666</v>
      </c>
      <c r="X21">
        <v>456</v>
      </c>
      <c r="Y21">
        <v>1894</v>
      </c>
      <c r="Z21">
        <v>114</v>
      </c>
      <c r="AA21">
        <v>26</v>
      </c>
      <c r="AB21">
        <v>2.17</v>
      </c>
      <c r="AC21">
        <v>5.3</v>
      </c>
      <c r="AD21">
        <v>33</v>
      </c>
      <c r="AE21" t="s">
        <v>56</v>
      </c>
      <c r="AF21" t="s">
        <v>64</v>
      </c>
      <c r="AG21" t="s">
        <v>97</v>
      </c>
      <c r="AH21" t="s">
        <v>133</v>
      </c>
      <c r="AI21">
        <v>92</v>
      </c>
      <c r="AJ21" t="s">
        <v>55</v>
      </c>
      <c r="AK21" t="s">
        <v>55</v>
      </c>
      <c r="AL21" t="s">
        <v>56</v>
      </c>
      <c r="AM21" t="s">
        <v>134</v>
      </c>
      <c r="AN21" t="s">
        <v>56</v>
      </c>
      <c r="AO21">
        <v>7</v>
      </c>
      <c r="AP21" t="s">
        <v>141</v>
      </c>
      <c r="AQ21" t="s">
        <v>85</v>
      </c>
      <c r="AR21" t="s">
        <v>56</v>
      </c>
      <c r="AS21" t="s">
        <v>55</v>
      </c>
      <c r="AT21" t="s">
        <v>56</v>
      </c>
      <c r="AU21">
        <v>85</v>
      </c>
      <c r="AV21">
        <v>3.62</v>
      </c>
      <c r="AW21" t="s">
        <v>86</v>
      </c>
      <c r="AX21" t="s">
        <v>69</v>
      </c>
    </row>
    <row r="22" spans="1:50">
      <c r="A22" t="s">
        <v>142</v>
      </c>
      <c r="B22">
        <v>43533</v>
      </c>
      <c r="C22">
        <v>63</v>
      </c>
      <c r="D22" t="s">
        <v>53</v>
      </c>
      <c r="E22">
        <v>31.1</v>
      </c>
      <c r="F22" t="s">
        <v>90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71</v>
      </c>
      <c r="M22" t="s">
        <v>143</v>
      </c>
      <c r="N22">
        <v>480</v>
      </c>
      <c r="O22">
        <v>124</v>
      </c>
      <c r="P22">
        <v>51</v>
      </c>
      <c r="Q22">
        <v>52</v>
      </c>
      <c r="R22">
        <v>96</v>
      </c>
      <c r="S22">
        <v>1</v>
      </c>
      <c r="T22">
        <v>3</v>
      </c>
      <c r="U22" t="s">
        <v>66</v>
      </c>
      <c r="V22" t="s">
        <v>60</v>
      </c>
      <c r="W22">
        <v>10.242000000000001</v>
      </c>
      <c r="X22">
        <v>99</v>
      </c>
      <c r="Y22">
        <v>1208</v>
      </c>
      <c r="Z22">
        <v>82</v>
      </c>
      <c r="AA22">
        <v>85</v>
      </c>
      <c r="AB22">
        <v>3.17</v>
      </c>
      <c r="AC22">
        <v>5.7</v>
      </c>
      <c r="AD22">
        <v>34</v>
      </c>
      <c r="AE22" t="s">
        <v>55</v>
      </c>
      <c r="AF22" t="s">
        <v>64</v>
      </c>
      <c r="AG22" t="s">
        <v>62</v>
      </c>
      <c r="AH22" t="s">
        <v>63</v>
      </c>
      <c r="AI22" t="s">
        <v>64</v>
      </c>
      <c r="AJ22" t="s">
        <v>55</v>
      </c>
      <c r="AK22" t="s">
        <v>55</v>
      </c>
      <c r="AL22" t="s">
        <v>55</v>
      </c>
      <c r="AM22" t="s">
        <v>75</v>
      </c>
      <c r="AN22" t="s">
        <v>55</v>
      </c>
      <c r="AO22">
        <v>5</v>
      </c>
      <c r="AP22" t="s">
        <v>144</v>
      </c>
      <c r="AQ22" t="s">
        <v>85</v>
      </c>
      <c r="AR22" t="s">
        <v>55</v>
      </c>
      <c r="AS22" t="s">
        <v>55</v>
      </c>
      <c r="AT22" t="s">
        <v>55</v>
      </c>
      <c r="AU22">
        <v>92</v>
      </c>
      <c r="AV22">
        <v>1.61</v>
      </c>
      <c r="AW22" t="s">
        <v>68</v>
      </c>
      <c r="AX22" t="s">
        <v>69</v>
      </c>
    </row>
    <row r="23" spans="1:50">
      <c r="A23" t="s">
        <v>145</v>
      </c>
      <c r="B23">
        <v>43535</v>
      </c>
      <c r="C23">
        <v>42</v>
      </c>
      <c r="D23" t="s">
        <v>53</v>
      </c>
      <c r="E23">
        <v>26.2</v>
      </c>
      <c r="F23" t="s">
        <v>54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131</v>
      </c>
      <c r="M23" t="s">
        <v>140</v>
      </c>
      <c r="N23">
        <v>102</v>
      </c>
      <c r="O23">
        <v>98</v>
      </c>
      <c r="P23">
        <v>76</v>
      </c>
      <c r="Q23">
        <v>83</v>
      </c>
      <c r="R23">
        <v>96</v>
      </c>
      <c r="S23">
        <v>1</v>
      </c>
      <c r="T23">
        <v>2</v>
      </c>
      <c r="U23" t="s">
        <v>95</v>
      </c>
      <c r="V23" t="s">
        <v>60</v>
      </c>
      <c r="W23">
        <v>9.2070000000000007</v>
      </c>
      <c r="X23">
        <v>661</v>
      </c>
      <c r="Y23">
        <v>455</v>
      </c>
      <c r="Z23">
        <v>63</v>
      </c>
      <c r="AA23">
        <v>104</v>
      </c>
      <c r="AB23">
        <v>2.16</v>
      </c>
      <c r="AC23">
        <v>5.5</v>
      </c>
      <c r="AD23">
        <v>57</v>
      </c>
      <c r="AE23" t="s">
        <v>55</v>
      </c>
      <c r="AF23" t="s">
        <v>64</v>
      </c>
      <c r="AG23" t="s">
        <v>62</v>
      </c>
      <c r="AH23" t="s">
        <v>146</v>
      </c>
      <c r="AI23">
        <v>100</v>
      </c>
      <c r="AJ23" t="s">
        <v>55</v>
      </c>
      <c r="AK23" t="s">
        <v>55</v>
      </c>
      <c r="AL23" t="s">
        <v>56</v>
      </c>
      <c r="AM23" t="s">
        <v>134</v>
      </c>
      <c r="AN23" t="s">
        <v>56</v>
      </c>
      <c r="AO23">
        <v>6</v>
      </c>
      <c r="AP23" t="s">
        <v>66</v>
      </c>
      <c r="AQ23" t="s">
        <v>85</v>
      </c>
      <c r="AR23" t="s">
        <v>55</v>
      </c>
      <c r="AS23" t="s">
        <v>55</v>
      </c>
      <c r="AT23" t="s">
        <v>56</v>
      </c>
      <c r="AU23">
        <v>91</v>
      </c>
      <c r="AV23">
        <v>2.46</v>
      </c>
      <c r="AW23" t="s">
        <v>86</v>
      </c>
      <c r="AX23" t="s">
        <v>147</v>
      </c>
    </row>
    <row r="24" spans="1:50">
      <c r="A24" t="s">
        <v>148</v>
      </c>
      <c r="B24">
        <v>43537</v>
      </c>
      <c r="C24">
        <v>68</v>
      </c>
      <c r="D24" t="s">
        <v>53</v>
      </c>
      <c r="E24">
        <v>29.8</v>
      </c>
      <c r="F24" t="s">
        <v>90</v>
      </c>
      <c r="G24" t="s">
        <v>55</v>
      </c>
      <c r="H24" t="s">
        <v>56</v>
      </c>
      <c r="I24" t="s">
        <v>55</v>
      </c>
      <c r="J24" t="s">
        <v>55</v>
      </c>
      <c r="K24" t="s">
        <v>55</v>
      </c>
      <c r="L24" t="s">
        <v>123</v>
      </c>
      <c r="M24" t="s">
        <v>124</v>
      </c>
      <c r="N24">
        <v>1724</v>
      </c>
      <c r="O24">
        <v>136</v>
      </c>
      <c r="P24">
        <v>94</v>
      </c>
      <c r="Q24">
        <v>79</v>
      </c>
      <c r="R24">
        <v>96</v>
      </c>
      <c r="S24">
        <v>1</v>
      </c>
      <c r="T24">
        <v>3</v>
      </c>
      <c r="U24" t="s">
        <v>73</v>
      </c>
      <c r="V24" t="s">
        <v>74</v>
      </c>
      <c r="W24">
        <v>5.6000000000000001E-2</v>
      </c>
      <c r="X24">
        <v>539</v>
      </c>
      <c r="Y24">
        <v>593</v>
      </c>
      <c r="Z24">
        <v>108</v>
      </c>
      <c r="AA24">
        <v>83</v>
      </c>
      <c r="AB24">
        <v>3.37</v>
      </c>
      <c r="AC24">
        <v>5.3</v>
      </c>
      <c r="AD24">
        <v>53</v>
      </c>
      <c r="AE24" t="s">
        <v>55</v>
      </c>
      <c r="AF24" t="s">
        <v>64</v>
      </c>
      <c r="AG24" t="s">
        <v>62</v>
      </c>
      <c r="AH24" t="s">
        <v>63</v>
      </c>
      <c r="AI24" t="s">
        <v>64</v>
      </c>
      <c r="AJ24" t="s">
        <v>55</v>
      </c>
      <c r="AK24" t="s">
        <v>55</v>
      </c>
      <c r="AL24" t="s">
        <v>56</v>
      </c>
      <c r="AM24" t="s">
        <v>125</v>
      </c>
      <c r="AN24" t="s">
        <v>55</v>
      </c>
      <c r="AO24">
        <v>2</v>
      </c>
      <c r="AP24" t="s">
        <v>66</v>
      </c>
      <c r="AQ24" t="s">
        <v>76</v>
      </c>
      <c r="AR24" t="s">
        <v>55</v>
      </c>
      <c r="AS24" t="s">
        <v>55</v>
      </c>
      <c r="AT24" t="s">
        <v>55</v>
      </c>
      <c r="AU24">
        <v>98</v>
      </c>
      <c r="AV24">
        <v>1.36</v>
      </c>
      <c r="AW24" t="s">
        <v>68</v>
      </c>
      <c r="AX24" t="s">
        <v>69</v>
      </c>
    </row>
    <row r="25" spans="1:50">
      <c r="A25" t="s">
        <v>149</v>
      </c>
      <c r="B25">
        <v>43541</v>
      </c>
      <c r="C25">
        <v>65</v>
      </c>
      <c r="D25" t="s">
        <v>89</v>
      </c>
      <c r="E25">
        <v>26.1</v>
      </c>
      <c r="F25" t="s">
        <v>79</v>
      </c>
      <c r="G25" t="s">
        <v>55</v>
      </c>
      <c r="H25" t="s">
        <v>56</v>
      </c>
      <c r="I25" t="s">
        <v>56</v>
      </c>
      <c r="J25" t="s">
        <v>55</v>
      </c>
      <c r="K25" t="s">
        <v>55</v>
      </c>
      <c r="L25" t="s">
        <v>101</v>
      </c>
      <c r="M25" t="s">
        <v>102</v>
      </c>
      <c r="N25">
        <v>931</v>
      </c>
      <c r="O25">
        <v>135</v>
      </c>
      <c r="P25">
        <v>101</v>
      </c>
      <c r="Q25">
        <v>79</v>
      </c>
      <c r="R25">
        <v>96</v>
      </c>
      <c r="S25">
        <v>4</v>
      </c>
      <c r="T25">
        <v>3</v>
      </c>
      <c r="U25" t="s">
        <v>95</v>
      </c>
      <c r="V25" t="s">
        <v>74</v>
      </c>
      <c r="W25">
        <v>8.3030000000000008</v>
      </c>
      <c r="X25">
        <v>1242</v>
      </c>
      <c r="Y25">
        <v>490</v>
      </c>
      <c r="Z25">
        <v>134</v>
      </c>
      <c r="AA25">
        <v>39</v>
      </c>
      <c r="AB25">
        <v>2.13</v>
      </c>
      <c r="AC25">
        <v>5.8</v>
      </c>
      <c r="AD25">
        <v>52</v>
      </c>
      <c r="AE25" t="s">
        <v>55</v>
      </c>
      <c r="AF25" t="s">
        <v>64</v>
      </c>
      <c r="AG25" t="s">
        <v>82</v>
      </c>
      <c r="AH25" t="s">
        <v>98</v>
      </c>
      <c r="AI25">
        <v>54</v>
      </c>
      <c r="AJ25" t="s">
        <v>55</v>
      </c>
      <c r="AK25" t="s">
        <v>55</v>
      </c>
      <c r="AL25" t="s">
        <v>56</v>
      </c>
      <c r="AM25" t="s">
        <v>105</v>
      </c>
      <c r="AN25" t="s">
        <v>56</v>
      </c>
      <c r="AO25">
        <v>6</v>
      </c>
      <c r="AP25" t="s">
        <v>66</v>
      </c>
      <c r="AQ25" t="s">
        <v>85</v>
      </c>
      <c r="AR25" t="s">
        <v>55</v>
      </c>
      <c r="AS25" t="s">
        <v>55</v>
      </c>
      <c r="AT25" t="s">
        <v>56</v>
      </c>
      <c r="AU25">
        <v>91</v>
      </c>
      <c r="AV25">
        <v>3.6</v>
      </c>
      <c r="AW25" t="s">
        <v>86</v>
      </c>
      <c r="AX25" t="s">
        <v>69</v>
      </c>
    </row>
    <row r="26" spans="1:50">
      <c r="A26" t="s">
        <v>150</v>
      </c>
      <c r="B26">
        <v>43545</v>
      </c>
      <c r="C26">
        <v>52</v>
      </c>
      <c r="D26" t="s">
        <v>89</v>
      </c>
      <c r="E26">
        <v>30.3</v>
      </c>
      <c r="F26" t="s">
        <v>90</v>
      </c>
      <c r="G26" t="s">
        <v>56</v>
      </c>
      <c r="H26" t="s">
        <v>55</v>
      </c>
      <c r="I26" t="s">
        <v>55</v>
      </c>
      <c r="J26" t="s">
        <v>55</v>
      </c>
      <c r="K26" t="s">
        <v>55</v>
      </c>
      <c r="L26" t="s">
        <v>71</v>
      </c>
      <c r="M26" t="s">
        <v>143</v>
      </c>
      <c r="N26">
        <v>940</v>
      </c>
      <c r="O26">
        <v>161</v>
      </c>
      <c r="P26">
        <v>76</v>
      </c>
      <c r="Q26">
        <v>79</v>
      </c>
      <c r="R26">
        <v>95</v>
      </c>
      <c r="S26">
        <v>1</v>
      </c>
      <c r="T26">
        <v>2</v>
      </c>
      <c r="U26" t="s">
        <v>59</v>
      </c>
      <c r="V26" t="s">
        <v>91</v>
      </c>
      <c r="W26">
        <v>3.335</v>
      </c>
      <c r="X26">
        <v>85</v>
      </c>
      <c r="Y26">
        <v>493</v>
      </c>
      <c r="Z26">
        <v>102</v>
      </c>
      <c r="AA26">
        <v>94</v>
      </c>
      <c r="AB26">
        <v>2.2599999999999998</v>
      </c>
      <c r="AC26">
        <v>7.4</v>
      </c>
      <c r="AD26">
        <v>37</v>
      </c>
      <c r="AE26" t="s">
        <v>55</v>
      </c>
      <c r="AF26" t="s">
        <v>64</v>
      </c>
      <c r="AG26" t="s">
        <v>62</v>
      </c>
      <c r="AH26" t="s">
        <v>63</v>
      </c>
      <c r="AI26" t="s">
        <v>64</v>
      </c>
      <c r="AJ26" t="s">
        <v>55</v>
      </c>
      <c r="AK26" t="s">
        <v>55</v>
      </c>
      <c r="AL26" t="s">
        <v>55</v>
      </c>
      <c r="AM26" t="s">
        <v>75</v>
      </c>
      <c r="AN26" t="s">
        <v>55</v>
      </c>
      <c r="AO26">
        <v>4</v>
      </c>
      <c r="AP26" t="s">
        <v>66</v>
      </c>
      <c r="AQ26" t="s">
        <v>151</v>
      </c>
      <c r="AR26" t="s">
        <v>55</v>
      </c>
      <c r="AS26" t="s">
        <v>55</v>
      </c>
      <c r="AT26" t="s">
        <v>56</v>
      </c>
      <c r="AU26">
        <v>99</v>
      </c>
      <c r="AV26">
        <v>1.39</v>
      </c>
      <c r="AW26" t="s">
        <v>68</v>
      </c>
      <c r="AX26" t="s">
        <v>69</v>
      </c>
    </row>
    <row r="27" spans="1:50">
      <c r="A27" t="s">
        <v>152</v>
      </c>
      <c r="B27">
        <v>43546</v>
      </c>
      <c r="C27">
        <v>57</v>
      </c>
      <c r="D27" t="s">
        <v>89</v>
      </c>
      <c r="E27">
        <v>29.2</v>
      </c>
      <c r="F27" t="s">
        <v>54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101</v>
      </c>
      <c r="M27" t="s">
        <v>153</v>
      </c>
      <c r="N27">
        <v>422</v>
      </c>
      <c r="O27">
        <v>131</v>
      </c>
      <c r="P27">
        <v>67</v>
      </c>
      <c r="Q27">
        <v>82</v>
      </c>
      <c r="R27">
        <v>94</v>
      </c>
      <c r="S27">
        <v>1</v>
      </c>
      <c r="T27">
        <v>1</v>
      </c>
      <c r="U27" t="s">
        <v>73</v>
      </c>
      <c r="V27" t="s">
        <v>137</v>
      </c>
      <c r="W27">
        <v>3.2909999999999999</v>
      </c>
      <c r="X27">
        <v>138</v>
      </c>
      <c r="Y27">
        <v>122</v>
      </c>
      <c r="Z27">
        <v>90</v>
      </c>
      <c r="AA27">
        <v>103</v>
      </c>
      <c r="AB27">
        <v>2.2400000000000002</v>
      </c>
      <c r="AC27">
        <v>5.3</v>
      </c>
      <c r="AD27">
        <v>36</v>
      </c>
      <c r="AE27" t="s">
        <v>55</v>
      </c>
      <c r="AF27" t="s">
        <v>64</v>
      </c>
      <c r="AG27" t="s">
        <v>97</v>
      </c>
      <c r="AH27" t="s">
        <v>120</v>
      </c>
      <c r="AI27">
        <v>49</v>
      </c>
      <c r="AJ27" t="s">
        <v>55</v>
      </c>
      <c r="AK27" t="s">
        <v>55</v>
      </c>
      <c r="AL27" t="s">
        <v>56</v>
      </c>
      <c r="AM27" t="s">
        <v>105</v>
      </c>
      <c r="AN27" t="s">
        <v>55</v>
      </c>
      <c r="AO27">
        <v>5</v>
      </c>
      <c r="AP27" t="s">
        <v>66</v>
      </c>
      <c r="AQ27" t="s">
        <v>85</v>
      </c>
      <c r="AR27" t="s">
        <v>55</v>
      </c>
      <c r="AS27" t="s">
        <v>55</v>
      </c>
      <c r="AT27" t="s">
        <v>55</v>
      </c>
      <c r="AU27">
        <v>93</v>
      </c>
      <c r="AV27">
        <v>1.49</v>
      </c>
      <c r="AW27" t="s">
        <v>68</v>
      </c>
      <c r="AX27" t="s">
        <v>69</v>
      </c>
    </row>
    <row r="28" spans="1:50">
      <c r="A28" t="s">
        <v>154</v>
      </c>
      <c r="B28">
        <v>43547</v>
      </c>
      <c r="C28">
        <v>66</v>
      </c>
      <c r="D28" t="s">
        <v>89</v>
      </c>
      <c r="E28">
        <v>29.2</v>
      </c>
      <c r="F28" t="s">
        <v>79</v>
      </c>
      <c r="G28" t="s">
        <v>55</v>
      </c>
      <c r="H28" t="s">
        <v>55</v>
      </c>
      <c r="I28" t="s">
        <v>55</v>
      </c>
      <c r="J28" t="s">
        <v>56</v>
      </c>
      <c r="K28" t="s">
        <v>55</v>
      </c>
      <c r="L28" t="s">
        <v>101</v>
      </c>
      <c r="M28" t="s">
        <v>129</v>
      </c>
      <c r="N28">
        <v>466</v>
      </c>
      <c r="O28">
        <v>135</v>
      </c>
      <c r="P28">
        <v>73</v>
      </c>
      <c r="Q28">
        <v>114</v>
      </c>
      <c r="R28">
        <v>98</v>
      </c>
      <c r="S28">
        <v>1</v>
      </c>
      <c r="T28">
        <v>2</v>
      </c>
      <c r="U28" t="s">
        <v>66</v>
      </c>
      <c r="V28" t="s">
        <v>91</v>
      </c>
      <c r="W28">
        <v>4.2009999999999996</v>
      </c>
      <c r="X28">
        <v>142</v>
      </c>
      <c r="Y28">
        <v>229</v>
      </c>
      <c r="Z28">
        <v>58</v>
      </c>
      <c r="AA28">
        <v>75</v>
      </c>
      <c r="AB28">
        <v>2.19</v>
      </c>
      <c r="AC28">
        <v>5.2</v>
      </c>
      <c r="AD28">
        <v>44</v>
      </c>
      <c r="AE28" t="s">
        <v>55</v>
      </c>
      <c r="AF28" t="s">
        <v>64</v>
      </c>
      <c r="AG28" t="s">
        <v>103</v>
      </c>
      <c r="AH28" t="s">
        <v>120</v>
      </c>
      <c r="AI28">
        <v>69</v>
      </c>
      <c r="AJ28" t="s">
        <v>55</v>
      </c>
      <c r="AK28" t="s">
        <v>55</v>
      </c>
      <c r="AL28" t="s">
        <v>56</v>
      </c>
      <c r="AM28" t="s">
        <v>105</v>
      </c>
      <c r="AN28" t="s">
        <v>55</v>
      </c>
      <c r="AO28">
        <v>4</v>
      </c>
      <c r="AP28" t="s">
        <v>66</v>
      </c>
      <c r="AQ28" t="s">
        <v>85</v>
      </c>
      <c r="AR28" t="s">
        <v>55</v>
      </c>
      <c r="AS28" t="s">
        <v>55</v>
      </c>
      <c r="AT28" t="s">
        <v>55</v>
      </c>
      <c r="AU28">
        <v>85</v>
      </c>
      <c r="AV28">
        <v>1.67</v>
      </c>
      <c r="AW28" t="s">
        <v>68</v>
      </c>
      <c r="AX28" t="s">
        <v>69</v>
      </c>
    </row>
    <row r="29" spans="1:50">
      <c r="A29" t="s">
        <v>155</v>
      </c>
      <c r="B29">
        <v>43548</v>
      </c>
      <c r="C29">
        <v>74</v>
      </c>
      <c r="D29" t="s">
        <v>89</v>
      </c>
      <c r="E29">
        <v>25.2</v>
      </c>
      <c r="F29" t="s">
        <v>54</v>
      </c>
      <c r="G29" t="s">
        <v>55</v>
      </c>
      <c r="H29" t="s">
        <v>56</v>
      </c>
      <c r="I29" t="s">
        <v>55</v>
      </c>
      <c r="J29" t="s">
        <v>55</v>
      </c>
      <c r="K29" t="s">
        <v>55</v>
      </c>
      <c r="L29" t="s">
        <v>57</v>
      </c>
      <c r="M29" t="s">
        <v>156</v>
      </c>
      <c r="N29">
        <v>1424</v>
      </c>
      <c r="O29">
        <v>146</v>
      </c>
      <c r="P29">
        <v>73</v>
      </c>
      <c r="Q29">
        <v>92</v>
      </c>
      <c r="R29">
        <v>91</v>
      </c>
      <c r="S29">
        <v>1</v>
      </c>
      <c r="T29">
        <v>4</v>
      </c>
      <c r="U29" t="s">
        <v>95</v>
      </c>
      <c r="V29" t="s">
        <v>137</v>
      </c>
      <c r="W29">
        <v>7.0999999999999994E-2</v>
      </c>
      <c r="X29">
        <v>316</v>
      </c>
      <c r="Y29">
        <v>2320</v>
      </c>
      <c r="Z29">
        <v>81</v>
      </c>
      <c r="AA29">
        <v>75</v>
      </c>
      <c r="AB29">
        <v>2.81</v>
      </c>
      <c r="AC29">
        <v>5.8</v>
      </c>
      <c r="AD29">
        <v>43</v>
      </c>
      <c r="AE29" t="s">
        <v>56</v>
      </c>
      <c r="AF29" t="s">
        <v>157</v>
      </c>
      <c r="AG29" t="s">
        <v>62</v>
      </c>
      <c r="AH29" t="s">
        <v>63</v>
      </c>
      <c r="AI29" t="s">
        <v>64</v>
      </c>
      <c r="AJ29" t="s">
        <v>55</v>
      </c>
      <c r="AK29" t="s">
        <v>55</v>
      </c>
      <c r="AL29" t="s">
        <v>56</v>
      </c>
      <c r="AM29" t="s">
        <v>65</v>
      </c>
      <c r="AN29" t="s">
        <v>56</v>
      </c>
      <c r="AO29">
        <v>8</v>
      </c>
      <c r="AP29" t="s">
        <v>66</v>
      </c>
      <c r="AQ29" t="s">
        <v>67</v>
      </c>
      <c r="AR29" t="s">
        <v>55</v>
      </c>
      <c r="AS29" t="s">
        <v>55</v>
      </c>
      <c r="AT29" t="s">
        <v>55</v>
      </c>
      <c r="AU29">
        <v>95</v>
      </c>
      <c r="AV29">
        <v>2.2799999999999998</v>
      </c>
      <c r="AW29" t="s">
        <v>86</v>
      </c>
      <c r="AX29" t="s">
        <v>69</v>
      </c>
    </row>
    <row r="30" spans="1:50">
      <c r="A30" t="s">
        <v>158</v>
      </c>
      <c r="B30">
        <v>43551</v>
      </c>
      <c r="C30">
        <v>58</v>
      </c>
      <c r="D30" t="s">
        <v>89</v>
      </c>
      <c r="E30">
        <v>21.6</v>
      </c>
      <c r="F30" t="s">
        <v>90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159</v>
      </c>
      <c r="M30" t="s">
        <v>160</v>
      </c>
      <c r="N30">
        <v>4220</v>
      </c>
      <c r="O30">
        <v>148</v>
      </c>
      <c r="P30">
        <v>107</v>
      </c>
      <c r="Q30">
        <v>78</v>
      </c>
      <c r="R30">
        <v>92</v>
      </c>
      <c r="S30">
        <v>1</v>
      </c>
      <c r="T30">
        <v>2</v>
      </c>
      <c r="U30" t="s">
        <v>59</v>
      </c>
      <c r="V30" t="s">
        <v>137</v>
      </c>
      <c r="W30">
        <v>3.6999999999999998E-2</v>
      </c>
      <c r="X30">
        <v>467</v>
      </c>
      <c r="Y30">
        <v>366</v>
      </c>
      <c r="Z30">
        <v>91</v>
      </c>
      <c r="AA30">
        <v>86</v>
      </c>
      <c r="AB30">
        <v>2.2400000000000002</v>
      </c>
      <c r="AC30">
        <v>5.5</v>
      </c>
      <c r="AD30">
        <v>67</v>
      </c>
      <c r="AE30" t="s">
        <v>55</v>
      </c>
      <c r="AF30" t="s">
        <v>64</v>
      </c>
      <c r="AG30" t="s">
        <v>62</v>
      </c>
      <c r="AH30" t="s">
        <v>83</v>
      </c>
      <c r="AI30">
        <v>66</v>
      </c>
      <c r="AJ30" t="s">
        <v>55</v>
      </c>
      <c r="AK30" t="s">
        <v>55</v>
      </c>
      <c r="AL30" t="s">
        <v>55</v>
      </c>
      <c r="AM30" t="s">
        <v>161</v>
      </c>
      <c r="AN30" t="s">
        <v>55</v>
      </c>
      <c r="AO30">
        <v>4</v>
      </c>
      <c r="AP30" t="s">
        <v>114</v>
      </c>
      <c r="AQ30" t="s">
        <v>85</v>
      </c>
      <c r="AR30" t="s">
        <v>55</v>
      </c>
      <c r="AS30" t="s">
        <v>55</v>
      </c>
      <c r="AT30" t="s">
        <v>55</v>
      </c>
      <c r="AU30">
        <v>100</v>
      </c>
      <c r="AV30">
        <v>1.1599999999999999</v>
      </c>
      <c r="AW30" t="s">
        <v>68</v>
      </c>
      <c r="AX30" t="s">
        <v>69</v>
      </c>
    </row>
    <row r="31" spans="1:50">
      <c r="A31" t="s">
        <v>162</v>
      </c>
      <c r="B31">
        <v>43555</v>
      </c>
      <c r="C31">
        <v>59</v>
      </c>
      <c r="D31" t="s">
        <v>53</v>
      </c>
      <c r="E31">
        <v>32.9</v>
      </c>
      <c r="F31" t="s">
        <v>90</v>
      </c>
      <c r="G31" t="s">
        <v>56</v>
      </c>
      <c r="H31" t="s">
        <v>56</v>
      </c>
      <c r="I31" t="s">
        <v>55</v>
      </c>
      <c r="J31" t="s">
        <v>55</v>
      </c>
      <c r="K31" t="s">
        <v>55</v>
      </c>
      <c r="L31" t="s">
        <v>80</v>
      </c>
      <c r="M31" t="s">
        <v>163</v>
      </c>
      <c r="N31">
        <v>1523</v>
      </c>
      <c r="O31">
        <v>120</v>
      </c>
      <c r="P31">
        <v>71</v>
      </c>
      <c r="Q31">
        <v>102</v>
      </c>
      <c r="R31">
        <v>97</v>
      </c>
      <c r="S31">
        <v>2</v>
      </c>
      <c r="T31">
        <v>2</v>
      </c>
      <c r="U31" t="s">
        <v>66</v>
      </c>
      <c r="V31" t="s">
        <v>137</v>
      </c>
      <c r="W31">
        <v>1.4999999999999999E-2</v>
      </c>
      <c r="X31">
        <v>78</v>
      </c>
      <c r="Y31">
        <v>1427</v>
      </c>
      <c r="Z31">
        <v>45</v>
      </c>
      <c r="AA31">
        <v>86</v>
      </c>
      <c r="AB31">
        <v>3.3</v>
      </c>
      <c r="AC31">
        <v>7.4</v>
      </c>
      <c r="AD31">
        <v>52</v>
      </c>
      <c r="AE31" t="s">
        <v>55</v>
      </c>
      <c r="AF31" t="s">
        <v>64</v>
      </c>
      <c r="AG31" t="s">
        <v>82</v>
      </c>
      <c r="AH31" t="s">
        <v>83</v>
      </c>
      <c r="AI31">
        <v>49</v>
      </c>
      <c r="AJ31" t="s">
        <v>55</v>
      </c>
      <c r="AK31" t="s">
        <v>55</v>
      </c>
      <c r="AL31" t="s">
        <v>55</v>
      </c>
      <c r="AM31" t="s">
        <v>84</v>
      </c>
      <c r="AN31" t="s">
        <v>55</v>
      </c>
      <c r="AO31">
        <v>2</v>
      </c>
      <c r="AP31" t="s">
        <v>66</v>
      </c>
      <c r="AQ31" t="s">
        <v>85</v>
      </c>
      <c r="AR31" t="s">
        <v>55</v>
      </c>
      <c r="AS31" t="s">
        <v>55</v>
      </c>
      <c r="AT31" t="s">
        <v>55</v>
      </c>
      <c r="AU31">
        <v>99</v>
      </c>
      <c r="AV31">
        <v>1.58</v>
      </c>
      <c r="AW31" t="s">
        <v>68</v>
      </c>
      <c r="AX31" t="s">
        <v>69</v>
      </c>
    </row>
    <row r="32" spans="1:50">
      <c r="A32" t="s">
        <v>164</v>
      </c>
      <c r="B32">
        <v>43556</v>
      </c>
      <c r="C32">
        <v>51</v>
      </c>
      <c r="D32" t="s">
        <v>89</v>
      </c>
      <c r="E32">
        <v>29.4</v>
      </c>
      <c r="F32" t="s">
        <v>54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131</v>
      </c>
      <c r="M32" t="s">
        <v>140</v>
      </c>
      <c r="N32">
        <v>223</v>
      </c>
      <c r="O32">
        <v>124</v>
      </c>
      <c r="P32">
        <v>85</v>
      </c>
      <c r="Q32">
        <v>91</v>
      </c>
      <c r="R32">
        <v>97</v>
      </c>
      <c r="S32">
        <v>3</v>
      </c>
      <c r="T32">
        <v>1</v>
      </c>
      <c r="U32" t="s">
        <v>59</v>
      </c>
      <c r="V32" t="s">
        <v>74</v>
      </c>
      <c r="W32">
        <v>17.975000000000001</v>
      </c>
      <c r="X32">
        <v>150</v>
      </c>
      <c r="Y32">
        <v>793</v>
      </c>
      <c r="Z32">
        <v>45</v>
      </c>
      <c r="AA32">
        <v>97</v>
      </c>
      <c r="AB32">
        <v>2.8</v>
      </c>
      <c r="AC32">
        <v>5.2</v>
      </c>
      <c r="AD32">
        <v>39</v>
      </c>
      <c r="AE32" t="s">
        <v>55</v>
      </c>
      <c r="AF32" t="s">
        <v>64</v>
      </c>
      <c r="AG32" t="s">
        <v>97</v>
      </c>
      <c r="AH32" t="s">
        <v>133</v>
      </c>
      <c r="AI32">
        <v>79</v>
      </c>
      <c r="AJ32" t="s">
        <v>55</v>
      </c>
      <c r="AK32" t="s">
        <v>55</v>
      </c>
      <c r="AL32" t="s">
        <v>56</v>
      </c>
      <c r="AM32" t="s">
        <v>134</v>
      </c>
      <c r="AN32" t="s">
        <v>56</v>
      </c>
      <c r="AO32">
        <v>7</v>
      </c>
      <c r="AP32" t="s">
        <v>99</v>
      </c>
      <c r="AQ32" t="s">
        <v>85</v>
      </c>
      <c r="AR32" t="s">
        <v>55</v>
      </c>
      <c r="AS32" t="s">
        <v>55</v>
      </c>
      <c r="AT32" t="s">
        <v>55</v>
      </c>
      <c r="AU32">
        <v>97</v>
      </c>
      <c r="AV32">
        <v>2.67</v>
      </c>
      <c r="AW32" t="s">
        <v>86</v>
      </c>
      <c r="AX32" t="s">
        <v>69</v>
      </c>
    </row>
    <row r="33" spans="1:50">
      <c r="A33" t="s">
        <v>165</v>
      </c>
      <c r="B33">
        <v>43558</v>
      </c>
      <c r="C33">
        <v>37</v>
      </c>
      <c r="D33" t="s">
        <v>53</v>
      </c>
      <c r="E33">
        <v>28.9</v>
      </c>
      <c r="F33" t="s">
        <v>90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101</v>
      </c>
      <c r="M33" t="s">
        <v>153</v>
      </c>
      <c r="N33">
        <v>1035</v>
      </c>
      <c r="O33">
        <v>129</v>
      </c>
      <c r="P33">
        <v>88</v>
      </c>
      <c r="Q33">
        <v>67</v>
      </c>
      <c r="R33">
        <v>95</v>
      </c>
      <c r="S33">
        <v>3</v>
      </c>
      <c r="T33">
        <v>4</v>
      </c>
      <c r="U33" t="s">
        <v>95</v>
      </c>
      <c r="V33" t="s">
        <v>137</v>
      </c>
      <c r="W33">
        <v>1.01</v>
      </c>
      <c r="X33">
        <v>557</v>
      </c>
      <c r="Y33">
        <v>751</v>
      </c>
      <c r="Z33">
        <v>79</v>
      </c>
      <c r="AA33">
        <v>103</v>
      </c>
      <c r="AB33">
        <v>2.5299999999999998</v>
      </c>
      <c r="AC33">
        <v>5.8</v>
      </c>
      <c r="AD33">
        <v>54</v>
      </c>
      <c r="AE33" t="s">
        <v>56</v>
      </c>
      <c r="AF33" t="s">
        <v>64</v>
      </c>
      <c r="AG33" t="s">
        <v>82</v>
      </c>
      <c r="AH33" t="s">
        <v>146</v>
      </c>
      <c r="AI33">
        <v>63</v>
      </c>
      <c r="AJ33" t="s">
        <v>55</v>
      </c>
      <c r="AK33" t="s">
        <v>55</v>
      </c>
      <c r="AL33" t="s">
        <v>56</v>
      </c>
      <c r="AM33" t="s">
        <v>105</v>
      </c>
      <c r="AN33" t="s">
        <v>56</v>
      </c>
      <c r="AO33">
        <v>4</v>
      </c>
      <c r="AP33" t="s">
        <v>141</v>
      </c>
      <c r="AQ33" t="s">
        <v>85</v>
      </c>
      <c r="AR33" t="s">
        <v>55</v>
      </c>
      <c r="AS33" t="s">
        <v>55</v>
      </c>
      <c r="AT33" t="s">
        <v>56</v>
      </c>
      <c r="AU33">
        <v>86</v>
      </c>
      <c r="AV33">
        <v>2.39</v>
      </c>
      <c r="AW33" t="s">
        <v>86</v>
      </c>
      <c r="AX33" t="s">
        <v>69</v>
      </c>
    </row>
    <row r="34" spans="1:50">
      <c r="A34" t="s">
        <v>166</v>
      </c>
      <c r="B34">
        <v>43558</v>
      </c>
      <c r="C34">
        <v>77</v>
      </c>
      <c r="D34" t="s">
        <v>89</v>
      </c>
      <c r="E34">
        <v>16.5</v>
      </c>
      <c r="F34" t="s">
        <v>79</v>
      </c>
      <c r="G34" t="s">
        <v>55</v>
      </c>
      <c r="H34" t="s">
        <v>56</v>
      </c>
      <c r="I34" t="s">
        <v>55</v>
      </c>
      <c r="J34" t="s">
        <v>55</v>
      </c>
      <c r="K34" t="s">
        <v>55</v>
      </c>
      <c r="L34" t="s">
        <v>80</v>
      </c>
      <c r="M34" t="s">
        <v>81</v>
      </c>
      <c r="N34">
        <v>2525</v>
      </c>
      <c r="O34">
        <v>146</v>
      </c>
      <c r="P34">
        <v>81</v>
      </c>
      <c r="Q34">
        <v>106</v>
      </c>
      <c r="R34">
        <v>97</v>
      </c>
      <c r="S34">
        <v>1</v>
      </c>
      <c r="T34">
        <v>3</v>
      </c>
      <c r="U34" t="s">
        <v>59</v>
      </c>
      <c r="V34" t="s">
        <v>96</v>
      </c>
      <c r="W34">
        <v>5.2999999999999999E-2</v>
      </c>
      <c r="X34">
        <v>538</v>
      </c>
      <c r="Y34">
        <v>680</v>
      </c>
      <c r="Z34">
        <v>63</v>
      </c>
      <c r="AA34">
        <v>70</v>
      </c>
      <c r="AB34">
        <v>3.4</v>
      </c>
      <c r="AC34">
        <v>5.4</v>
      </c>
      <c r="AD34">
        <v>75</v>
      </c>
      <c r="AE34" t="s">
        <v>56</v>
      </c>
      <c r="AF34" t="s">
        <v>64</v>
      </c>
      <c r="AG34" t="s">
        <v>103</v>
      </c>
      <c r="AH34" t="s">
        <v>146</v>
      </c>
      <c r="AI34">
        <v>90</v>
      </c>
      <c r="AJ34" t="s">
        <v>55</v>
      </c>
      <c r="AK34" t="s">
        <v>55</v>
      </c>
      <c r="AL34" t="s">
        <v>55</v>
      </c>
      <c r="AM34" t="s">
        <v>84</v>
      </c>
      <c r="AN34" t="s">
        <v>55</v>
      </c>
      <c r="AO34">
        <v>4</v>
      </c>
      <c r="AP34" t="s">
        <v>66</v>
      </c>
      <c r="AQ34" t="s">
        <v>85</v>
      </c>
      <c r="AR34" t="s">
        <v>55</v>
      </c>
      <c r="AS34" t="s">
        <v>55</v>
      </c>
      <c r="AT34" t="s">
        <v>55</v>
      </c>
      <c r="AU34">
        <v>87</v>
      </c>
      <c r="AV34">
        <v>1.54</v>
      </c>
      <c r="AW34" t="s">
        <v>68</v>
      </c>
      <c r="AX34" t="s">
        <v>69</v>
      </c>
    </row>
    <row r="35" spans="1:50">
      <c r="A35" t="s">
        <v>167</v>
      </c>
      <c r="B35">
        <v>43559</v>
      </c>
      <c r="C35">
        <v>52</v>
      </c>
      <c r="D35" t="s">
        <v>89</v>
      </c>
      <c r="E35">
        <v>27.2</v>
      </c>
      <c r="F35" t="s">
        <v>79</v>
      </c>
      <c r="G35" t="s">
        <v>56</v>
      </c>
      <c r="H35" t="s">
        <v>55</v>
      </c>
      <c r="I35" t="s">
        <v>55</v>
      </c>
      <c r="J35" t="s">
        <v>55</v>
      </c>
      <c r="K35" t="s">
        <v>55</v>
      </c>
      <c r="L35" t="s">
        <v>108</v>
      </c>
      <c r="M35" t="s">
        <v>113</v>
      </c>
      <c r="N35">
        <v>2642</v>
      </c>
      <c r="O35">
        <v>178</v>
      </c>
      <c r="P35">
        <v>93</v>
      </c>
      <c r="Q35">
        <v>57</v>
      </c>
      <c r="R35">
        <v>100</v>
      </c>
      <c r="S35">
        <v>4</v>
      </c>
      <c r="T35">
        <v>4</v>
      </c>
      <c r="U35" t="s">
        <v>66</v>
      </c>
      <c r="V35" t="s">
        <v>96</v>
      </c>
      <c r="W35">
        <v>0.32500000000000001</v>
      </c>
      <c r="X35">
        <v>430</v>
      </c>
      <c r="Y35">
        <v>660</v>
      </c>
      <c r="Z35">
        <v>116</v>
      </c>
      <c r="AA35">
        <v>107</v>
      </c>
      <c r="AB35">
        <v>3.42</v>
      </c>
      <c r="AC35">
        <v>7.7</v>
      </c>
      <c r="AD35">
        <v>52</v>
      </c>
      <c r="AE35" t="s">
        <v>55</v>
      </c>
      <c r="AF35" t="s">
        <v>64</v>
      </c>
      <c r="AG35" t="s">
        <v>62</v>
      </c>
      <c r="AH35" t="s">
        <v>63</v>
      </c>
      <c r="AI35" t="s">
        <v>64</v>
      </c>
      <c r="AJ35" t="s">
        <v>55</v>
      </c>
      <c r="AK35" t="s">
        <v>55</v>
      </c>
      <c r="AL35" t="s">
        <v>55</v>
      </c>
      <c r="AM35" t="s">
        <v>110</v>
      </c>
      <c r="AN35" t="s">
        <v>56</v>
      </c>
      <c r="AO35">
        <v>9</v>
      </c>
      <c r="AP35" t="s">
        <v>141</v>
      </c>
      <c r="AQ35" t="s">
        <v>76</v>
      </c>
      <c r="AR35" t="s">
        <v>55</v>
      </c>
      <c r="AS35" t="s">
        <v>56</v>
      </c>
      <c r="AT35" t="s">
        <v>56</v>
      </c>
      <c r="AU35">
        <v>94</v>
      </c>
      <c r="AV35">
        <v>2.74</v>
      </c>
      <c r="AW35" t="s">
        <v>86</v>
      </c>
      <c r="AX35" t="s">
        <v>69</v>
      </c>
    </row>
    <row r="36" spans="1:50">
      <c r="A36" t="s">
        <v>168</v>
      </c>
      <c r="B36">
        <v>43566</v>
      </c>
      <c r="C36">
        <v>42</v>
      </c>
      <c r="D36" t="s">
        <v>89</v>
      </c>
      <c r="E36">
        <v>25.6</v>
      </c>
      <c r="F36" t="s">
        <v>90</v>
      </c>
      <c r="G36" t="s">
        <v>55</v>
      </c>
      <c r="H36" t="s">
        <v>56</v>
      </c>
      <c r="I36" t="s">
        <v>55</v>
      </c>
      <c r="J36" t="s">
        <v>56</v>
      </c>
      <c r="K36" t="s">
        <v>55</v>
      </c>
      <c r="L36" t="s">
        <v>131</v>
      </c>
      <c r="M36" t="s">
        <v>169</v>
      </c>
      <c r="N36">
        <v>1105</v>
      </c>
      <c r="O36">
        <v>146</v>
      </c>
      <c r="P36">
        <v>83</v>
      </c>
      <c r="Q36">
        <v>99</v>
      </c>
      <c r="R36">
        <v>98</v>
      </c>
      <c r="S36">
        <v>1</v>
      </c>
      <c r="T36">
        <v>2</v>
      </c>
      <c r="U36" t="s">
        <v>59</v>
      </c>
      <c r="V36" t="s">
        <v>74</v>
      </c>
      <c r="W36">
        <v>49.328000000000003</v>
      </c>
      <c r="X36">
        <v>90</v>
      </c>
      <c r="Y36">
        <v>162</v>
      </c>
      <c r="Z36">
        <v>92</v>
      </c>
      <c r="AA36">
        <v>109</v>
      </c>
      <c r="AB36">
        <v>3.09</v>
      </c>
      <c r="AC36">
        <v>5.9</v>
      </c>
      <c r="AD36">
        <v>62</v>
      </c>
      <c r="AE36" t="s">
        <v>56</v>
      </c>
      <c r="AF36" t="s">
        <v>64</v>
      </c>
      <c r="AG36" t="s">
        <v>82</v>
      </c>
      <c r="AH36" t="s">
        <v>104</v>
      </c>
      <c r="AI36">
        <v>89</v>
      </c>
      <c r="AJ36" t="s">
        <v>55</v>
      </c>
      <c r="AK36" t="s">
        <v>55</v>
      </c>
      <c r="AL36" t="s">
        <v>56</v>
      </c>
      <c r="AM36" t="s">
        <v>134</v>
      </c>
      <c r="AN36" t="s">
        <v>55</v>
      </c>
      <c r="AO36">
        <v>2</v>
      </c>
      <c r="AP36" t="s">
        <v>66</v>
      </c>
      <c r="AQ36" t="s">
        <v>85</v>
      </c>
      <c r="AR36" t="s">
        <v>55</v>
      </c>
      <c r="AS36" t="s">
        <v>55</v>
      </c>
      <c r="AT36" t="s">
        <v>55</v>
      </c>
      <c r="AU36">
        <v>92</v>
      </c>
      <c r="AV36">
        <v>1.19</v>
      </c>
      <c r="AW36" t="s">
        <v>68</v>
      </c>
      <c r="AX36" t="s">
        <v>69</v>
      </c>
    </row>
    <row r="37" spans="1:50">
      <c r="A37" t="s">
        <v>170</v>
      </c>
      <c r="B37">
        <v>43570</v>
      </c>
      <c r="C37">
        <v>45</v>
      </c>
      <c r="D37" t="s">
        <v>53</v>
      </c>
      <c r="E37">
        <v>36.299999999999997</v>
      </c>
      <c r="F37" t="s">
        <v>90</v>
      </c>
      <c r="G37" t="s">
        <v>55</v>
      </c>
      <c r="H37" t="s">
        <v>56</v>
      </c>
      <c r="I37" t="s">
        <v>55</v>
      </c>
      <c r="J37" t="s">
        <v>56</v>
      </c>
      <c r="K37" t="s">
        <v>55</v>
      </c>
      <c r="L37" t="s">
        <v>131</v>
      </c>
      <c r="M37" t="s">
        <v>140</v>
      </c>
      <c r="N37">
        <v>745</v>
      </c>
      <c r="O37">
        <v>144</v>
      </c>
      <c r="P37">
        <v>81</v>
      </c>
      <c r="Q37">
        <v>58</v>
      </c>
      <c r="R37">
        <v>94</v>
      </c>
      <c r="S37">
        <v>1</v>
      </c>
      <c r="T37">
        <v>1</v>
      </c>
      <c r="U37" t="s">
        <v>59</v>
      </c>
      <c r="V37" t="s">
        <v>137</v>
      </c>
      <c r="W37">
        <v>4.6029999999999998</v>
      </c>
      <c r="X37">
        <v>74</v>
      </c>
      <c r="Y37">
        <v>248</v>
      </c>
      <c r="Z37">
        <v>51</v>
      </c>
      <c r="AA37">
        <v>98</v>
      </c>
      <c r="AB37">
        <v>3.57</v>
      </c>
      <c r="AC37">
        <v>5.4</v>
      </c>
      <c r="AD37">
        <v>75</v>
      </c>
      <c r="AE37" t="s">
        <v>55</v>
      </c>
      <c r="AF37" t="s">
        <v>64</v>
      </c>
      <c r="AG37" t="s">
        <v>82</v>
      </c>
      <c r="AH37" t="s">
        <v>120</v>
      </c>
      <c r="AI37">
        <v>100</v>
      </c>
      <c r="AJ37" t="s">
        <v>55</v>
      </c>
      <c r="AK37" t="s">
        <v>55</v>
      </c>
      <c r="AL37" t="s">
        <v>56</v>
      </c>
      <c r="AM37" t="s">
        <v>134</v>
      </c>
      <c r="AN37" t="s">
        <v>56</v>
      </c>
      <c r="AO37">
        <v>11</v>
      </c>
      <c r="AP37" t="s">
        <v>171</v>
      </c>
      <c r="AQ37" t="s">
        <v>85</v>
      </c>
      <c r="AR37" t="s">
        <v>55</v>
      </c>
      <c r="AS37" t="s">
        <v>55</v>
      </c>
      <c r="AT37" t="s">
        <v>55</v>
      </c>
      <c r="AU37">
        <v>95</v>
      </c>
      <c r="AV37">
        <v>1.75</v>
      </c>
      <c r="AW37" t="s">
        <v>68</v>
      </c>
      <c r="AX37" t="s">
        <v>69</v>
      </c>
    </row>
    <row r="38" spans="1:50">
      <c r="A38" t="s">
        <v>172</v>
      </c>
      <c r="B38">
        <v>43572</v>
      </c>
      <c r="C38">
        <v>55</v>
      </c>
      <c r="D38" t="s">
        <v>53</v>
      </c>
      <c r="E38">
        <v>21.8</v>
      </c>
      <c r="F38" t="s">
        <v>54</v>
      </c>
      <c r="G38" t="s">
        <v>55</v>
      </c>
      <c r="H38" t="s">
        <v>56</v>
      </c>
      <c r="I38" t="s">
        <v>56</v>
      </c>
      <c r="J38" t="s">
        <v>55</v>
      </c>
      <c r="K38" t="s">
        <v>55</v>
      </c>
      <c r="L38" t="s">
        <v>108</v>
      </c>
      <c r="M38" t="s">
        <v>117</v>
      </c>
      <c r="N38">
        <v>2410</v>
      </c>
      <c r="O38">
        <v>121</v>
      </c>
      <c r="P38">
        <v>42</v>
      </c>
      <c r="Q38">
        <v>140</v>
      </c>
      <c r="R38">
        <v>97</v>
      </c>
      <c r="S38">
        <v>3</v>
      </c>
      <c r="T38">
        <v>3</v>
      </c>
      <c r="U38" t="s">
        <v>73</v>
      </c>
      <c r="V38" t="s">
        <v>137</v>
      </c>
      <c r="W38">
        <v>0.13500000000000001</v>
      </c>
      <c r="X38">
        <v>994</v>
      </c>
      <c r="Y38">
        <v>358</v>
      </c>
      <c r="Z38">
        <v>114</v>
      </c>
      <c r="AA38">
        <v>53</v>
      </c>
      <c r="AB38">
        <v>3.85</v>
      </c>
      <c r="AC38">
        <v>5</v>
      </c>
      <c r="AD38">
        <v>43</v>
      </c>
      <c r="AE38" t="s">
        <v>55</v>
      </c>
      <c r="AF38" t="s">
        <v>64</v>
      </c>
      <c r="AG38" t="s">
        <v>62</v>
      </c>
      <c r="AH38" t="s">
        <v>63</v>
      </c>
      <c r="AI38" t="s">
        <v>64</v>
      </c>
      <c r="AJ38" t="s">
        <v>55</v>
      </c>
      <c r="AK38" t="s">
        <v>55</v>
      </c>
      <c r="AL38" t="s">
        <v>55</v>
      </c>
      <c r="AM38" t="s">
        <v>110</v>
      </c>
      <c r="AN38" t="s">
        <v>56</v>
      </c>
      <c r="AO38">
        <v>11</v>
      </c>
      <c r="AP38" t="s">
        <v>114</v>
      </c>
      <c r="AQ38" t="s">
        <v>76</v>
      </c>
      <c r="AR38" t="s">
        <v>55</v>
      </c>
      <c r="AS38" t="s">
        <v>55</v>
      </c>
      <c r="AT38" t="s">
        <v>55</v>
      </c>
      <c r="AU38">
        <v>90</v>
      </c>
      <c r="AV38">
        <v>2.65</v>
      </c>
      <c r="AW38" t="s">
        <v>86</v>
      </c>
      <c r="AX38" t="s">
        <v>69</v>
      </c>
    </row>
    <row r="39" spans="1:50">
      <c r="A39" t="s">
        <v>173</v>
      </c>
      <c r="B39">
        <v>43573</v>
      </c>
      <c r="C39">
        <v>69</v>
      </c>
      <c r="D39" t="s">
        <v>53</v>
      </c>
      <c r="E39">
        <v>24.9</v>
      </c>
      <c r="F39" t="s">
        <v>54</v>
      </c>
      <c r="G39" t="s">
        <v>55</v>
      </c>
      <c r="H39" t="s">
        <v>55</v>
      </c>
      <c r="I39" t="s">
        <v>56</v>
      </c>
      <c r="J39" t="s">
        <v>55</v>
      </c>
      <c r="K39" t="s">
        <v>55</v>
      </c>
      <c r="L39" t="s">
        <v>123</v>
      </c>
      <c r="M39" t="s">
        <v>124</v>
      </c>
      <c r="N39">
        <v>2986</v>
      </c>
      <c r="O39">
        <v>149</v>
      </c>
      <c r="P39">
        <v>90</v>
      </c>
      <c r="Q39">
        <v>97</v>
      </c>
      <c r="R39">
        <v>95</v>
      </c>
      <c r="S39">
        <v>2</v>
      </c>
      <c r="T39">
        <v>2</v>
      </c>
      <c r="U39" t="s">
        <v>66</v>
      </c>
      <c r="V39" t="s">
        <v>74</v>
      </c>
      <c r="W39">
        <v>3.7999999999999999E-2</v>
      </c>
      <c r="X39">
        <v>104</v>
      </c>
      <c r="Y39">
        <v>668</v>
      </c>
      <c r="Z39">
        <v>101</v>
      </c>
      <c r="AA39">
        <v>53</v>
      </c>
      <c r="AB39">
        <v>3.21</v>
      </c>
      <c r="AC39">
        <v>5.5</v>
      </c>
      <c r="AD39">
        <v>62</v>
      </c>
      <c r="AE39" t="s">
        <v>55</v>
      </c>
      <c r="AF39" t="s">
        <v>64</v>
      </c>
      <c r="AG39" t="s">
        <v>62</v>
      </c>
      <c r="AH39" t="s">
        <v>63</v>
      </c>
      <c r="AI39" t="s">
        <v>64</v>
      </c>
      <c r="AJ39" t="s">
        <v>55</v>
      </c>
      <c r="AK39" t="s">
        <v>55</v>
      </c>
      <c r="AL39" t="s">
        <v>56</v>
      </c>
      <c r="AM39" t="s">
        <v>125</v>
      </c>
      <c r="AN39" t="s">
        <v>55</v>
      </c>
      <c r="AO39">
        <v>3</v>
      </c>
      <c r="AP39" t="s">
        <v>66</v>
      </c>
      <c r="AQ39" t="s">
        <v>85</v>
      </c>
      <c r="AR39" t="s">
        <v>55</v>
      </c>
      <c r="AS39" t="s">
        <v>55</v>
      </c>
      <c r="AT39" t="s">
        <v>55</v>
      </c>
      <c r="AU39">
        <v>93</v>
      </c>
      <c r="AV39">
        <v>2.0299999999999998</v>
      </c>
      <c r="AW39" t="s">
        <v>68</v>
      </c>
      <c r="AX39" t="s">
        <v>69</v>
      </c>
    </row>
    <row r="40" spans="1:50">
      <c r="A40" t="s">
        <v>174</v>
      </c>
      <c r="B40">
        <v>43579</v>
      </c>
      <c r="C40">
        <v>19</v>
      </c>
      <c r="D40" t="s">
        <v>89</v>
      </c>
      <c r="E40">
        <v>18.899999999999999</v>
      </c>
      <c r="F40" t="s">
        <v>90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159</v>
      </c>
      <c r="M40" t="s">
        <v>175</v>
      </c>
      <c r="N40">
        <v>1780</v>
      </c>
      <c r="O40">
        <v>151</v>
      </c>
      <c r="P40">
        <v>81</v>
      </c>
      <c r="Q40">
        <v>77</v>
      </c>
      <c r="R40">
        <v>94</v>
      </c>
      <c r="S40">
        <v>1</v>
      </c>
      <c r="T40">
        <v>2</v>
      </c>
      <c r="U40" t="s">
        <v>59</v>
      </c>
      <c r="V40" t="s">
        <v>137</v>
      </c>
      <c r="W40">
        <v>8.0000000000000002E-3</v>
      </c>
      <c r="X40">
        <v>62</v>
      </c>
      <c r="Y40">
        <v>598</v>
      </c>
      <c r="Z40">
        <v>93</v>
      </c>
      <c r="AA40">
        <v>120</v>
      </c>
      <c r="AB40">
        <v>2.69</v>
      </c>
      <c r="AC40">
        <v>5.8</v>
      </c>
      <c r="AD40">
        <v>50</v>
      </c>
      <c r="AE40" t="s">
        <v>55</v>
      </c>
      <c r="AF40" t="s">
        <v>64</v>
      </c>
      <c r="AG40" t="s">
        <v>97</v>
      </c>
      <c r="AH40" t="s">
        <v>83</v>
      </c>
      <c r="AI40">
        <v>60</v>
      </c>
      <c r="AJ40" t="s">
        <v>55</v>
      </c>
      <c r="AK40" t="s">
        <v>55</v>
      </c>
      <c r="AL40" t="s">
        <v>55</v>
      </c>
      <c r="AM40" t="s">
        <v>161</v>
      </c>
      <c r="AN40" t="s">
        <v>55</v>
      </c>
      <c r="AO40">
        <v>6</v>
      </c>
      <c r="AP40" t="s">
        <v>66</v>
      </c>
      <c r="AQ40" t="s">
        <v>151</v>
      </c>
      <c r="AR40" t="s">
        <v>55</v>
      </c>
      <c r="AS40" t="s">
        <v>55</v>
      </c>
      <c r="AT40" t="s">
        <v>55</v>
      </c>
      <c r="AU40">
        <v>97</v>
      </c>
      <c r="AV40">
        <v>0.38</v>
      </c>
      <c r="AW40" t="s">
        <v>68</v>
      </c>
      <c r="AX40" t="s">
        <v>69</v>
      </c>
    </row>
    <row r="41" spans="1:50">
      <c r="A41" t="s">
        <v>176</v>
      </c>
      <c r="B41">
        <v>43585</v>
      </c>
      <c r="C41">
        <v>61</v>
      </c>
      <c r="D41" t="s">
        <v>53</v>
      </c>
      <c r="E41">
        <v>28.9</v>
      </c>
      <c r="F41" t="s">
        <v>79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159</v>
      </c>
      <c r="M41" t="s">
        <v>177</v>
      </c>
      <c r="N41">
        <v>1853</v>
      </c>
      <c r="O41">
        <v>136</v>
      </c>
      <c r="P41">
        <v>71</v>
      </c>
      <c r="Q41">
        <v>111</v>
      </c>
      <c r="R41">
        <v>95</v>
      </c>
      <c r="S41">
        <v>1</v>
      </c>
      <c r="T41">
        <v>2</v>
      </c>
      <c r="U41" t="s">
        <v>66</v>
      </c>
      <c r="V41" t="s">
        <v>60</v>
      </c>
      <c r="W41">
        <v>2.3E-2</v>
      </c>
      <c r="X41">
        <v>227</v>
      </c>
      <c r="Y41">
        <v>554</v>
      </c>
      <c r="Z41">
        <v>76</v>
      </c>
      <c r="AA41">
        <v>78</v>
      </c>
      <c r="AB41">
        <v>3.35</v>
      </c>
      <c r="AC41">
        <v>5.6</v>
      </c>
      <c r="AD41">
        <v>51</v>
      </c>
      <c r="AE41" t="s">
        <v>55</v>
      </c>
      <c r="AF41" t="s">
        <v>64</v>
      </c>
      <c r="AG41" t="s">
        <v>97</v>
      </c>
      <c r="AH41" t="s">
        <v>104</v>
      </c>
      <c r="AI41">
        <v>67</v>
      </c>
      <c r="AJ41" t="s">
        <v>55</v>
      </c>
      <c r="AK41" t="s">
        <v>55</v>
      </c>
      <c r="AL41" t="s">
        <v>55</v>
      </c>
      <c r="AM41" t="s">
        <v>161</v>
      </c>
      <c r="AN41" t="s">
        <v>55</v>
      </c>
      <c r="AO41">
        <v>3</v>
      </c>
      <c r="AP41" t="s">
        <v>66</v>
      </c>
      <c r="AQ41" t="s">
        <v>178</v>
      </c>
      <c r="AR41" t="s">
        <v>55</v>
      </c>
      <c r="AS41" t="s">
        <v>55</v>
      </c>
      <c r="AT41" t="s">
        <v>55</v>
      </c>
      <c r="AU41">
        <v>97</v>
      </c>
      <c r="AV41">
        <v>1.22</v>
      </c>
      <c r="AW41" t="s">
        <v>68</v>
      </c>
      <c r="AX41" t="s">
        <v>69</v>
      </c>
    </row>
    <row r="42" spans="1:50">
      <c r="A42" t="s">
        <v>179</v>
      </c>
      <c r="B42">
        <v>43591</v>
      </c>
      <c r="C42">
        <v>44</v>
      </c>
      <c r="D42" t="s">
        <v>53</v>
      </c>
      <c r="E42">
        <v>23.6</v>
      </c>
      <c r="F42" t="s">
        <v>79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101</v>
      </c>
      <c r="M42" t="s">
        <v>129</v>
      </c>
      <c r="N42">
        <v>930</v>
      </c>
      <c r="O42">
        <v>150</v>
      </c>
      <c r="P42">
        <v>71</v>
      </c>
      <c r="Q42">
        <v>107</v>
      </c>
      <c r="R42">
        <v>97</v>
      </c>
      <c r="S42">
        <v>1</v>
      </c>
      <c r="T42">
        <v>3</v>
      </c>
      <c r="U42" t="s">
        <v>73</v>
      </c>
      <c r="V42" t="s">
        <v>74</v>
      </c>
      <c r="W42">
        <v>1.47</v>
      </c>
      <c r="X42">
        <v>199</v>
      </c>
      <c r="Y42">
        <v>296</v>
      </c>
      <c r="Z42">
        <v>47</v>
      </c>
      <c r="AA42">
        <v>108</v>
      </c>
      <c r="AB42">
        <v>3.87</v>
      </c>
      <c r="AC42">
        <v>5.6</v>
      </c>
      <c r="AD42">
        <v>32</v>
      </c>
      <c r="AE42" t="s">
        <v>55</v>
      </c>
      <c r="AF42" t="s">
        <v>64</v>
      </c>
      <c r="AG42" t="s">
        <v>97</v>
      </c>
      <c r="AH42" t="s">
        <v>133</v>
      </c>
      <c r="AI42">
        <v>95</v>
      </c>
      <c r="AJ42" t="s">
        <v>56</v>
      </c>
      <c r="AK42" t="s">
        <v>55</v>
      </c>
      <c r="AL42" t="s">
        <v>56</v>
      </c>
      <c r="AM42" t="s">
        <v>105</v>
      </c>
      <c r="AN42" t="s">
        <v>55</v>
      </c>
      <c r="AO42">
        <v>1</v>
      </c>
      <c r="AP42" t="s">
        <v>66</v>
      </c>
      <c r="AQ42" t="s">
        <v>85</v>
      </c>
      <c r="AR42" t="s">
        <v>55</v>
      </c>
      <c r="AS42" t="s">
        <v>55</v>
      </c>
      <c r="AT42" t="s">
        <v>55</v>
      </c>
      <c r="AU42">
        <v>99</v>
      </c>
      <c r="AV42">
        <v>1.23</v>
      </c>
      <c r="AW42" t="s">
        <v>68</v>
      </c>
      <c r="AX42" t="s">
        <v>69</v>
      </c>
    </row>
    <row r="43" spans="1:50">
      <c r="A43" t="s">
        <v>180</v>
      </c>
      <c r="B43">
        <v>43592</v>
      </c>
      <c r="C43">
        <v>49</v>
      </c>
      <c r="D43" t="s">
        <v>89</v>
      </c>
      <c r="E43">
        <v>26.3</v>
      </c>
      <c r="F43" t="s">
        <v>79</v>
      </c>
      <c r="G43" t="s">
        <v>55</v>
      </c>
      <c r="H43" t="s">
        <v>56</v>
      </c>
      <c r="I43" t="s">
        <v>55</v>
      </c>
      <c r="J43" t="s">
        <v>55</v>
      </c>
      <c r="K43" t="s">
        <v>55</v>
      </c>
      <c r="L43" t="s">
        <v>101</v>
      </c>
      <c r="M43" t="s">
        <v>102</v>
      </c>
      <c r="N43">
        <v>97</v>
      </c>
      <c r="O43">
        <v>131</v>
      </c>
      <c r="P43">
        <v>96</v>
      </c>
      <c r="Q43">
        <v>65</v>
      </c>
      <c r="R43">
        <v>96</v>
      </c>
      <c r="S43">
        <v>3</v>
      </c>
      <c r="T43">
        <v>2</v>
      </c>
      <c r="U43" t="s">
        <v>73</v>
      </c>
      <c r="V43" t="s">
        <v>60</v>
      </c>
      <c r="W43">
        <v>1.2030000000000001</v>
      </c>
      <c r="X43">
        <v>214</v>
      </c>
      <c r="Y43">
        <v>829</v>
      </c>
      <c r="Z43">
        <v>63</v>
      </c>
      <c r="AA43">
        <v>110</v>
      </c>
      <c r="AB43">
        <v>3.07</v>
      </c>
      <c r="AC43">
        <v>5</v>
      </c>
      <c r="AD43">
        <v>73</v>
      </c>
      <c r="AE43" t="s">
        <v>55</v>
      </c>
      <c r="AF43" t="s">
        <v>64</v>
      </c>
      <c r="AG43" t="s">
        <v>103</v>
      </c>
      <c r="AH43" t="s">
        <v>133</v>
      </c>
      <c r="AI43">
        <v>99</v>
      </c>
      <c r="AJ43" t="s">
        <v>55</v>
      </c>
      <c r="AK43" t="s">
        <v>55</v>
      </c>
      <c r="AL43" t="s">
        <v>56</v>
      </c>
      <c r="AM43" t="s">
        <v>105</v>
      </c>
      <c r="AN43" t="s">
        <v>56</v>
      </c>
      <c r="AO43">
        <v>5</v>
      </c>
      <c r="AP43" t="s">
        <v>144</v>
      </c>
      <c r="AQ43" t="s">
        <v>85</v>
      </c>
      <c r="AR43" t="s">
        <v>55</v>
      </c>
      <c r="AS43" t="s">
        <v>55</v>
      </c>
      <c r="AT43" t="s">
        <v>55</v>
      </c>
      <c r="AU43">
        <v>90</v>
      </c>
      <c r="AV43">
        <v>2.63</v>
      </c>
      <c r="AW43" t="s">
        <v>86</v>
      </c>
      <c r="AX43" t="s">
        <v>69</v>
      </c>
    </row>
    <row r="44" spans="1:50">
      <c r="A44" t="s">
        <v>181</v>
      </c>
      <c r="B44">
        <v>43594</v>
      </c>
      <c r="C44">
        <v>48</v>
      </c>
      <c r="D44" t="s">
        <v>89</v>
      </c>
      <c r="E44">
        <v>16.7</v>
      </c>
      <c r="F44" t="s">
        <v>90</v>
      </c>
      <c r="G44" t="s">
        <v>55</v>
      </c>
      <c r="H44" t="s">
        <v>56</v>
      </c>
      <c r="I44" t="s">
        <v>55</v>
      </c>
      <c r="J44" t="s">
        <v>55</v>
      </c>
      <c r="K44" t="s">
        <v>55</v>
      </c>
      <c r="L44" t="s">
        <v>131</v>
      </c>
      <c r="M44" t="s">
        <v>169</v>
      </c>
      <c r="N44">
        <v>1317</v>
      </c>
      <c r="O44">
        <v>125</v>
      </c>
      <c r="P44">
        <v>65</v>
      </c>
      <c r="Q44">
        <v>66</v>
      </c>
      <c r="R44">
        <v>98</v>
      </c>
      <c r="S44">
        <v>1</v>
      </c>
      <c r="T44">
        <v>2</v>
      </c>
      <c r="U44" t="s">
        <v>95</v>
      </c>
      <c r="V44" t="s">
        <v>137</v>
      </c>
      <c r="W44">
        <v>11.395</v>
      </c>
      <c r="X44">
        <v>238</v>
      </c>
      <c r="Y44">
        <v>590</v>
      </c>
      <c r="Z44">
        <v>67</v>
      </c>
      <c r="AA44">
        <v>92</v>
      </c>
      <c r="AB44">
        <v>2.2400000000000002</v>
      </c>
      <c r="AC44">
        <v>5.8</v>
      </c>
      <c r="AD44">
        <v>53</v>
      </c>
      <c r="AE44" t="s">
        <v>55</v>
      </c>
      <c r="AF44" t="s">
        <v>64</v>
      </c>
      <c r="AG44" t="s">
        <v>103</v>
      </c>
      <c r="AH44" t="s">
        <v>146</v>
      </c>
      <c r="AI44">
        <v>62</v>
      </c>
      <c r="AJ44" t="s">
        <v>55</v>
      </c>
      <c r="AK44" t="s">
        <v>56</v>
      </c>
      <c r="AL44" t="s">
        <v>56</v>
      </c>
      <c r="AM44" t="s">
        <v>134</v>
      </c>
      <c r="AN44" t="s">
        <v>55</v>
      </c>
      <c r="AO44">
        <v>7</v>
      </c>
      <c r="AP44" t="s">
        <v>66</v>
      </c>
      <c r="AQ44" t="s">
        <v>85</v>
      </c>
      <c r="AR44" t="s">
        <v>55</v>
      </c>
      <c r="AS44" t="s">
        <v>55</v>
      </c>
      <c r="AT44" t="s">
        <v>55</v>
      </c>
      <c r="AU44">
        <v>84</v>
      </c>
      <c r="AV44">
        <v>1.31</v>
      </c>
      <c r="AW44" t="s">
        <v>68</v>
      </c>
      <c r="AX44" t="s">
        <v>182</v>
      </c>
    </row>
    <row r="45" spans="1:50">
      <c r="A45" t="s">
        <v>183</v>
      </c>
      <c r="B45">
        <v>43595</v>
      </c>
      <c r="C45">
        <v>66</v>
      </c>
      <c r="D45" t="s">
        <v>89</v>
      </c>
      <c r="E45">
        <v>26.6</v>
      </c>
      <c r="F45" t="s">
        <v>54</v>
      </c>
      <c r="G45" t="s">
        <v>56</v>
      </c>
      <c r="H45" t="s">
        <v>55</v>
      </c>
      <c r="I45" t="s">
        <v>55</v>
      </c>
      <c r="J45" t="s">
        <v>55</v>
      </c>
      <c r="K45" t="s">
        <v>55</v>
      </c>
      <c r="L45" t="s">
        <v>108</v>
      </c>
      <c r="M45" t="s">
        <v>113</v>
      </c>
      <c r="N45">
        <v>2223</v>
      </c>
      <c r="O45">
        <v>164</v>
      </c>
      <c r="P45">
        <v>93</v>
      </c>
      <c r="Q45">
        <v>45</v>
      </c>
      <c r="R45">
        <v>91</v>
      </c>
      <c r="S45">
        <v>3</v>
      </c>
      <c r="T45">
        <v>3</v>
      </c>
      <c r="U45" t="s">
        <v>95</v>
      </c>
      <c r="V45" t="s">
        <v>91</v>
      </c>
      <c r="W45">
        <v>0.02</v>
      </c>
      <c r="X45">
        <v>246</v>
      </c>
      <c r="Y45">
        <v>536</v>
      </c>
      <c r="Z45">
        <v>110</v>
      </c>
      <c r="AA45">
        <v>76</v>
      </c>
      <c r="AB45">
        <v>2.89</v>
      </c>
      <c r="AC45">
        <v>8</v>
      </c>
      <c r="AD45">
        <v>44</v>
      </c>
      <c r="AE45" t="s">
        <v>55</v>
      </c>
      <c r="AF45" t="s">
        <v>64</v>
      </c>
      <c r="AG45" t="s">
        <v>62</v>
      </c>
      <c r="AH45" t="s">
        <v>63</v>
      </c>
      <c r="AI45" t="s">
        <v>64</v>
      </c>
      <c r="AJ45" t="s">
        <v>55</v>
      </c>
      <c r="AK45" t="s">
        <v>55</v>
      </c>
      <c r="AL45" t="s">
        <v>56</v>
      </c>
      <c r="AM45" t="s">
        <v>110</v>
      </c>
      <c r="AN45" t="s">
        <v>56</v>
      </c>
      <c r="AO45">
        <v>11</v>
      </c>
      <c r="AP45" t="s">
        <v>184</v>
      </c>
      <c r="AQ45" t="s">
        <v>76</v>
      </c>
      <c r="AR45" t="s">
        <v>55</v>
      </c>
      <c r="AS45" t="s">
        <v>55</v>
      </c>
      <c r="AT45" t="s">
        <v>55</v>
      </c>
      <c r="AU45">
        <v>89</v>
      </c>
      <c r="AV45">
        <v>2.92</v>
      </c>
      <c r="AW45" t="s">
        <v>86</v>
      </c>
      <c r="AX45" t="s">
        <v>69</v>
      </c>
    </row>
    <row r="46" spans="1:50">
      <c r="A46" t="s">
        <v>185</v>
      </c>
      <c r="B46">
        <v>43601</v>
      </c>
      <c r="C46">
        <v>68</v>
      </c>
      <c r="D46" t="s">
        <v>53</v>
      </c>
      <c r="E46">
        <v>37.1</v>
      </c>
      <c r="F46" t="s">
        <v>90</v>
      </c>
      <c r="G46" t="s">
        <v>56</v>
      </c>
      <c r="H46" t="s">
        <v>55</v>
      </c>
      <c r="I46" t="s">
        <v>55</v>
      </c>
      <c r="J46" t="s">
        <v>55</v>
      </c>
      <c r="K46" t="s">
        <v>56</v>
      </c>
      <c r="L46" t="s">
        <v>101</v>
      </c>
      <c r="M46" t="s">
        <v>129</v>
      </c>
      <c r="N46">
        <v>70</v>
      </c>
      <c r="O46">
        <v>162</v>
      </c>
      <c r="P46">
        <v>73</v>
      </c>
      <c r="Q46">
        <v>45</v>
      </c>
      <c r="R46">
        <v>93</v>
      </c>
      <c r="S46">
        <v>3</v>
      </c>
      <c r="T46">
        <v>2</v>
      </c>
      <c r="U46" t="s">
        <v>95</v>
      </c>
      <c r="V46" t="s">
        <v>74</v>
      </c>
      <c r="W46">
        <v>1.2829999999999999</v>
      </c>
      <c r="X46">
        <v>40</v>
      </c>
      <c r="Y46">
        <v>265</v>
      </c>
      <c r="Z46">
        <v>77</v>
      </c>
      <c r="AA46">
        <v>80</v>
      </c>
      <c r="AB46">
        <v>2.83</v>
      </c>
      <c r="AC46">
        <v>6.7</v>
      </c>
      <c r="AD46">
        <v>45</v>
      </c>
      <c r="AE46" t="s">
        <v>55</v>
      </c>
      <c r="AF46" t="s">
        <v>64</v>
      </c>
      <c r="AG46" t="s">
        <v>97</v>
      </c>
      <c r="AH46" t="s">
        <v>104</v>
      </c>
      <c r="AI46">
        <v>58</v>
      </c>
      <c r="AJ46" t="s">
        <v>55</v>
      </c>
      <c r="AK46" t="s">
        <v>55</v>
      </c>
      <c r="AL46" t="s">
        <v>56</v>
      </c>
      <c r="AM46" t="s">
        <v>105</v>
      </c>
      <c r="AN46" t="s">
        <v>56</v>
      </c>
      <c r="AO46">
        <v>9</v>
      </c>
      <c r="AP46" t="s">
        <v>66</v>
      </c>
      <c r="AQ46" t="s">
        <v>85</v>
      </c>
      <c r="AR46" t="s">
        <v>55</v>
      </c>
      <c r="AS46" t="s">
        <v>55</v>
      </c>
      <c r="AT46" t="s">
        <v>55</v>
      </c>
      <c r="AU46">
        <v>100</v>
      </c>
      <c r="AV46">
        <v>3.01</v>
      </c>
      <c r="AW46" t="s">
        <v>86</v>
      </c>
      <c r="AX46" t="s">
        <v>69</v>
      </c>
    </row>
    <row r="47" spans="1:50">
      <c r="A47" t="s">
        <v>186</v>
      </c>
      <c r="B47">
        <v>43611</v>
      </c>
      <c r="C47">
        <v>66</v>
      </c>
      <c r="D47" t="s">
        <v>89</v>
      </c>
      <c r="E47">
        <v>16.899999999999999</v>
      </c>
      <c r="F47" t="s">
        <v>54</v>
      </c>
      <c r="G47" t="s">
        <v>56</v>
      </c>
      <c r="H47" t="s">
        <v>55</v>
      </c>
      <c r="I47" t="s">
        <v>55</v>
      </c>
      <c r="J47" t="s">
        <v>55</v>
      </c>
      <c r="K47" t="s">
        <v>55</v>
      </c>
      <c r="L47" t="s">
        <v>123</v>
      </c>
      <c r="M47" t="s">
        <v>124</v>
      </c>
      <c r="N47">
        <v>2512</v>
      </c>
      <c r="O47">
        <v>114</v>
      </c>
      <c r="P47">
        <v>83</v>
      </c>
      <c r="Q47">
        <v>86</v>
      </c>
      <c r="R47">
        <v>93</v>
      </c>
      <c r="S47">
        <v>3</v>
      </c>
      <c r="T47">
        <v>2</v>
      </c>
      <c r="U47" t="s">
        <v>66</v>
      </c>
      <c r="V47" t="s">
        <v>74</v>
      </c>
      <c r="W47">
        <v>3.2000000000000001E-2</v>
      </c>
      <c r="X47">
        <v>74</v>
      </c>
      <c r="Y47">
        <v>173</v>
      </c>
      <c r="Z47">
        <v>83</v>
      </c>
      <c r="AA47">
        <v>93</v>
      </c>
      <c r="AB47">
        <v>4.68</v>
      </c>
      <c r="AC47">
        <v>6.7</v>
      </c>
      <c r="AD47">
        <v>67</v>
      </c>
      <c r="AE47" t="s">
        <v>56</v>
      </c>
      <c r="AF47" t="s">
        <v>64</v>
      </c>
      <c r="AG47" t="s">
        <v>62</v>
      </c>
      <c r="AH47" t="s">
        <v>63</v>
      </c>
      <c r="AI47" t="s">
        <v>64</v>
      </c>
      <c r="AJ47" t="s">
        <v>55</v>
      </c>
      <c r="AK47" t="s">
        <v>55</v>
      </c>
      <c r="AL47" t="s">
        <v>56</v>
      </c>
      <c r="AM47" t="s">
        <v>125</v>
      </c>
      <c r="AN47" t="s">
        <v>56</v>
      </c>
      <c r="AO47">
        <v>8</v>
      </c>
      <c r="AP47" t="s">
        <v>66</v>
      </c>
      <c r="AQ47" t="s">
        <v>126</v>
      </c>
      <c r="AR47" t="s">
        <v>55</v>
      </c>
      <c r="AS47" t="s">
        <v>55</v>
      </c>
      <c r="AT47" t="s">
        <v>55</v>
      </c>
      <c r="AU47">
        <v>96</v>
      </c>
      <c r="AV47">
        <v>2.83</v>
      </c>
      <c r="AW47" t="s">
        <v>86</v>
      </c>
      <c r="AX47" t="s">
        <v>69</v>
      </c>
    </row>
    <row r="48" spans="1:50">
      <c r="A48" t="s">
        <v>187</v>
      </c>
      <c r="B48">
        <v>43614</v>
      </c>
      <c r="C48">
        <v>42</v>
      </c>
      <c r="D48" t="s">
        <v>53</v>
      </c>
      <c r="E48">
        <v>29.3</v>
      </c>
      <c r="F48" t="s">
        <v>90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80</v>
      </c>
      <c r="M48" t="s">
        <v>163</v>
      </c>
      <c r="N48">
        <v>1901</v>
      </c>
      <c r="O48">
        <v>114</v>
      </c>
      <c r="P48">
        <v>68</v>
      </c>
      <c r="Q48">
        <v>101</v>
      </c>
      <c r="R48">
        <v>97</v>
      </c>
      <c r="S48">
        <v>1</v>
      </c>
      <c r="T48">
        <v>4</v>
      </c>
      <c r="U48" t="s">
        <v>66</v>
      </c>
      <c r="V48" t="s">
        <v>137</v>
      </c>
      <c r="W48">
        <v>4.7E-2</v>
      </c>
      <c r="X48">
        <v>230</v>
      </c>
      <c r="Y48">
        <v>1353</v>
      </c>
      <c r="Z48">
        <v>100</v>
      </c>
      <c r="AA48">
        <v>111</v>
      </c>
      <c r="AB48">
        <v>2.4700000000000002</v>
      </c>
      <c r="AC48">
        <v>5.6</v>
      </c>
      <c r="AD48">
        <v>41</v>
      </c>
      <c r="AE48" t="s">
        <v>55</v>
      </c>
      <c r="AF48" t="s">
        <v>64</v>
      </c>
      <c r="AG48" t="s">
        <v>62</v>
      </c>
      <c r="AH48" t="s">
        <v>120</v>
      </c>
      <c r="AI48">
        <v>100</v>
      </c>
      <c r="AJ48" t="s">
        <v>55</v>
      </c>
      <c r="AK48" t="s">
        <v>55</v>
      </c>
      <c r="AL48" t="s">
        <v>55</v>
      </c>
      <c r="AM48" t="s">
        <v>84</v>
      </c>
      <c r="AN48" t="s">
        <v>55</v>
      </c>
      <c r="AO48">
        <v>4</v>
      </c>
      <c r="AP48" t="s">
        <v>66</v>
      </c>
      <c r="AQ48" t="s">
        <v>85</v>
      </c>
      <c r="AR48" t="s">
        <v>55</v>
      </c>
      <c r="AS48" t="s">
        <v>55</v>
      </c>
      <c r="AT48" t="s">
        <v>55</v>
      </c>
      <c r="AU48">
        <v>91</v>
      </c>
      <c r="AV48">
        <v>1.05</v>
      </c>
      <c r="AW48" t="s">
        <v>68</v>
      </c>
      <c r="AX48" t="s">
        <v>69</v>
      </c>
    </row>
    <row r="49" spans="1:50">
      <c r="A49" t="s">
        <v>188</v>
      </c>
      <c r="B49">
        <v>43620</v>
      </c>
      <c r="C49">
        <v>44</v>
      </c>
      <c r="D49" t="s">
        <v>89</v>
      </c>
      <c r="E49">
        <v>27.9</v>
      </c>
      <c r="F49" t="s">
        <v>90</v>
      </c>
      <c r="G49" t="s">
        <v>55</v>
      </c>
      <c r="H49" t="s">
        <v>56</v>
      </c>
      <c r="I49" t="s">
        <v>55</v>
      </c>
      <c r="J49" t="s">
        <v>55</v>
      </c>
      <c r="K49" t="s">
        <v>55</v>
      </c>
      <c r="L49" t="s">
        <v>80</v>
      </c>
      <c r="M49" t="s">
        <v>94</v>
      </c>
      <c r="N49">
        <v>3671</v>
      </c>
      <c r="O49">
        <v>105</v>
      </c>
      <c r="P49">
        <v>72</v>
      </c>
      <c r="Q49">
        <v>103</v>
      </c>
      <c r="R49">
        <v>96</v>
      </c>
      <c r="S49">
        <v>1</v>
      </c>
      <c r="T49">
        <v>2</v>
      </c>
      <c r="U49" t="s">
        <v>73</v>
      </c>
      <c r="V49" t="s">
        <v>74</v>
      </c>
      <c r="W49">
        <v>2.3E-2</v>
      </c>
      <c r="X49">
        <v>375</v>
      </c>
      <c r="Y49">
        <v>771</v>
      </c>
      <c r="Z49">
        <v>45</v>
      </c>
      <c r="AA49">
        <v>108</v>
      </c>
      <c r="AB49">
        <v>3.55</v>
      </c>
      <c r="AC49">
        <v>5.7</v>
      </c>
      <c r="AD49">
        <v>16</v>
      </c>
      <c r="AE49" t="s">
        <v>55</v>
      </c>
      <c r="AF49" t="s">
        <v>64</v>
      </c>
      <c r="AG49" t="s">
        <v>103</v>
      </c>
      <c r="AH49" t="s">
        <v>98</v>
      </c>
      <c r="AI49">
        <v>89</v>
      </c>
      <c r="AJ49" t="s">
        <v>55</v>
      </c>
      <c r="AK49" t="s">
        <v>55</v>
      </c>
      <c r="AL49" t="s">
        <v>56</v>
      </c>
      <c r="AM49" t="s">
        <v>84</v>
      </c>
      <c r="AN49" t="s">
        <v>55</v>
      </c>
      <c r="AO49">
        <v>2</v>
      </c>
      <c r="AP49" t="s">
        <v>171</v>
      </c>
      <c r="AQ49" t="s">
        <v>85</v>
      </c>
      <c r="AR49" t="s">
        <v>55</v>
      </c>
      <c r="AS49" t="s">
        <v>55</v>
      </c>
      <c r="AT49" t="s">
        <v>55</v>
      </c>
      <c r="AU49">
        <v>95</v>
      </c>
      <c r="AV49">
        <v>1.41</v>
      </c>
      <c r="AW49" t="s">
        <v>68</v>
      </c>
      <c r="AX49" t="s">
        <v>69</v>
      </c>
    </row>
    <row r="50" spans="1:50">
      <c r="A50" t="s">
        <v>189</v>
      </c>
      <c r="B50">
        <v>43621</v>
      </c>
      <c r="C50">
        <v>62</v>
      </c>
      <c r="D50" t="s">
        <v>89</v>
      </c>
      <c r="E50">
        <v>22.5</v>
      </c>
      <c r="F50" t="s">
        <v>54</v>
      </c>
      <c r="G50" t="s">
        <v>55</v>
      </c>
      <c r="H50" t="s">
        <v>56</v>
      </c>
      <c r="I50" t="s">
        <v>55</v>
      </c>
      <c r="J50" t="s">
        <v>55</v>
      </c>
      <c r="K50" t="s">
        <v>55</v>
      </c>
      <c r="L50" t="s">
        <v>159</v>
      </c>
      <c r="M50" t="s">
        <v>160</v>
      </c>
      <c r="N50">
        <v>2047</v>
      </c>
      <c r="O50">
        <v>103</v>
      </c>
      <c r="P50">
        <v>49</v>
      </c>
      <c r="Q50">
        <v>105</v>
      </c>
      <c r="R50">
        <v>98</v>
      </c>
      <c r="S50">
        <v>1</v>
      </c>
      <c r="T50">
        <v>2</v>
      </c>
      <c r="U50" t="s">
        <v>59</v>
      </c>
      <c r="V50" t="s">
        <v>96</v>
      </c>
      <c r="W50">
        <v>8.9999999999999993E-3</v>
      </c>
      <c r="X50">
        <v>116</v>
      </c>
      <c r="Y50">
        <v>1088</v>
      </c>
      <c r="Z50">
        <v>75</v>
      </c>
      <c r="AA50">
        <v>89</v>
      </c>
      <c r="AB50">
        <v>2.35</v>
      </c>
      <c r="AC50">
        <v>5</v>
      </c>
      <c r="AD50">
        <v>51</v>
      </c>
      <c r="AE50" t="s">
        <v>55</v>
      </c>
      <c r="AF50" t="s">
        <v>64</v>
      </c>
      <c r="AG50" t="s">
        <v>103</v>
      </c>
      <c r="AH50" t="s">
        <v>146</v>
      </c>
      <c r="AI50">
        <v>52</v>
      </c>
      <c r="AJ50" t="s">
        <v>55</v>
      </c>
      <c r="AK50" t="s">
        <v>55</v>
      </c>
      <c r="AL50" t="s">
        <v>55</v>
      </c>
      <c r="AM50" t="s">
        <v>161</v>
      </c>
      <c r="AN50" t="s">
        <v>55</v>
      </c>
      <c r="AO50">
        <v>5</v>
      </c>
      <c r="AP50" t="s">
        <v>66</v>
      </c>
      <c r="AQ50" t="s">
        <v>190</v>
      </c>
      <c r="AR50" t="s">
        <v>55</v>
      </c>
      <c r="AS50" t="s">
        <v>55</v>
      </c>
      <c r="AT50" t="s">
        <v>55</v>
      </c>
      <c r="AU50">
        <v>100</v>
      </c>
      <c r="AV50">
        <v>1.83</v>
      </c>
      <c r="AW50" t="s">
        <v>68</v>
      </c>
      <c r="AX50" t="s">
        <v>69</v>
      </c>
    </row>
    <row r="51" spans="1:50">
      <c r="A51" t="s">
        <v>191</v>
      </c>
      <c r="B51">
        <v>43626</v>
      </c>
      <c r="C51">
        <v>71</v>
      </c>
      <c r="D51" t="s">
        <v>53</v>
      </c>
      <c r="E51">
        <v>30.5</v>
      </c>
      <c r="F51" t="s">
        <v>79</v>
      </c>
      <c r="G51" t="s">
        <v>56</v>
      </c>
      <c r="H51" t="s">
        <v>55</v>
      </c>
      <c r="I51" t="s">
        <v>55</v>
      </c>
      <c r="J51" t="s">
        <v>55</v>
      </c>
      <c r="K51" t="s">
        <v>55</v>
      </c>
      <c r="L51" t="s">
        <v>57</v>
      </c>
      <c r="M51" t="s">
        <v>156</v>
      </c>
      <c r="N51">
        <v>636</v>
      </c>
      <c r="O51">
        <v>125</v>
      </c>
      <c r="P51">
        <v>79</v>
      </c>
      <c r="Q51">
        <v>101</v>
      </c>
      <c r="R51">
        <v>90</v>
      </c>
      <c r="S51">
        <v>3</v>
      </c>
      <c r="T51">
        <v>2</v>
      </c>
      <c r="U51" t="s">
        <v>95</v>
      </c>
      <c r="V51" t="s">
        <v>137</v>
      </c>
      <c r="W51">
        <v>0.14299999999999999</v>
      </c>
      <c r="X51">
        <v>53</v>
      </c>
      <c r="Y51">
        <v>7584</v>
      </c>
      <c r="Z51">
        <v>52</v>
      </c>
      <c r="AA51">
        <v>78</v>
      </c>
      <c r="AB51">
        <v>1.62</v>
      </c>
      <c r="AC51">
        <v>7.4</v>
      </c>
      <c r="AD51">
        <v>50</v>
      </c>
      <c r="AE51" t="s">
        <v>55</v>
      </c>
      <c r="AF51" t="s">
        <v>61</v>
      </c>
      <c r="AG51" t="s">
        <v>62</v>
      </c>
      <c r="AH51" t="s">
        <v>63</v>
      </c>
      <c r="AI51" t="s">
        <v>64</v>
      </c>
      <c r="AJ51" t="s">
        <v>55</v>
      </c>
      <c r="AK51" t="s">
        <v>55</v>
      </c>
      <c r="AL51" t="s">
        <v>56</v>
      </c>
      <c r="AM51" t="s">
        <v>65</v>
      </c>
      <c r="AN51" t="s">
        <v>56</v>
      </c>
      <c r="AO51">
        <v>8</v>
      </c>
      <c r="AP51" t="s">
        <v>66</v>
      </c>
      <c r="AQ51" t="s">
        <v>67</v>
      </c>
      <c r="AR51" t="s">
        <v>55</v>
      </c>
      <c r="AS51" t="s">
        <v>55</v>
      </c>
      <c r="AT51" t="s">
        <v>55</v>
      </c>
      <c r="AU51">
        <v>88</v>
      </c>
      <c r="AV51">
        <v>3.02</v>
      </c>
      <c r="AW51" t="s">
        <v>86</v>
      </c>
      <c r="AX51" t="s">
        <v>69</v>
      </c>
    </row>
    <row r="52" spans="1:50">
      <c r="A52" t="s">
        <v>192</v>
      </c>
      <c r="B52">
        <v>43628</v>
      </c>
      <c r="C52">
        <v>47</v>
      </c>
      <c r="D52" t="s">
        <v>53</v>
      </c>
      <c r="E52">
        <v>28</v>
      </c>
      <c r="F52" t="s">
        <v>90</v>
      </c>
      <c r="G52" t="s">
        <v>56</v>
      </c>
      <c r="H52" t="s">
        <v>55</v>
      </c>
      <c r="I52" t="s">
        <v>55</v>
      </c>
      <c r="J52" t="s">
        <v>55</v>
      </c>
      <c r="K52" t="s">
        <v>55</v>
      </c>
      <c r="L52" t="s">
        <v>131</v>
      </c>
      <c r="M52" t="s">
        <v>140</v>
      </c>
      <c r="N52">
        <v>92</v>
      </c>
      <c r="O52">
        <v>91</v>
      </c>
      <c r="P52">
        <v>89</v>
      </c>
      <c r="Q52">
        <v>103</v>
      </c>
      <c r="R52">
        <v>97</v>
      </c>
      <c r="S52">
        <v>2</v>
      </c>
      <c r="T52">
        <v>3</v>
      </c>
      <c r="U52" t="s">
        <v>59</v>
      </c>
      <c r="V52" t="s">
        <v>137</v>
      </c>
      <c r="W52">
        <v>15.451000000000001</v>
      </c>
      <c r="X52">
        <v>126</v>
      </c>
      <c r="Y52">
        <v>1038</v>
      </c>
      <c r="Z52">
        <v>106</v>
      </c>
      <c r="AA52">
        <v>103</v>
      </c>
      <c r="AB52">
        <v>1.71</v>
      </c>
      <c r="AC52">
        <v>8.4</v>
      </c>
      <c r="AD52">
        <v>56</v>
      </c>
      <c r="AE52" t="s">
        <v>55</v>
      </c>
      <c r="AF52" t="s">
        <v>64</v>
      </c>
      <c r="AG52" t="s">
        <v>103</v>
      </c>
      <c r="AH52" t="s">
        <v>83</v>
      </c>
      <c r="AI52">
        <v>47</v>
      </c>
      <c r="AJ52" t="s">
        <v>55</v>
      </c>
      <c r="AK52" t="s">
        <v>55</v>
      </c>
      <c r="AL52" t="s">
        <v>56</v>
      </c>
      <c r="AM52" t="s">
        <v>134</v>
      </c>
      <c r="AN52" t="s">
        <v>56</v>
      </c>
      <c r="AO52">
        <v>7</v>
      </c>
      <c r="AP52" t="s">
        <v>66</v>
      </c>
      <c r="AQ52" t="s">
        <v>85</v>
      </c>
      <c r="AR52" t="s">
        <v>55</v>
      </c>
      <c r="AS52" t="s">
        <v>55</v>
      </c>
      <c r="AT52" t="s">
        <v>56</v>
      </c>
      <c r="AU52">
        <v>91</v>
      </c>
      <c r="AV52">
        <v>3.21</v>
      </c>
      <c r="AW52" t="s">
        <v>86</v>
      </c>
      <c r="AX52" t="s">
        <v>69</v>
      </c>
    </row>
    <row r="53" spans="1:50">
      <c r="A53" t="s">
        <v>193</v>
      </c>
      <c r="B53">
        <v>43633</v>
      </c>
      <c r="C53">
        <v>38</v>
      </c>
      <c r="D53" t="s">
        <v>89</v>
      </c>
      <c r="E53">
        <v>31.8</v>
      </c>
      <c r="F53" t="s">
        <v>54</v>
      </c>
      <c r="G53" t="s">
        <v>55</v>
      </c>
      <c r="H53" t="s">
        <v>55</v>
      </c>
      <c r="I53" t="s">
        <v>55</v>
      </c>
      <c r="J53" t="s">
        <v>55</v>
      </c>
      <c r="K53" t="s">
        <v>55</v>
      </c>
      <c r="L53" t="s">
        <v>80</v>
      </c>
      <c r="M53" t="s">
        <v>94</v>
      </c>
      <c r="N53">
        <v>2722</v>
      </c>
      <c r="O53">
        <v>127</v>
      </c>
      <c r="P53">
        <v>44</v>
      </c>
      <c r="Q53">
        <v>118</v>
      </c>
      <c r="R53">
        <v>97</v>
      </c>
      <c r="S53">
        <v>3</v>
      </c>
      <c r="T53">
        <v>2</v>
      </c>
      <c r="U53" t="s">
        <v>66</v>
      </c>
      <c r="V53" t="s">
        <v>137</v>
      </c>
      <c r="W53">
        <v>3.6999999999999998E-2</v>
      </c>
      <c r="X53">
        <v>214</v>
      </c>
      <c r="Y53">
        <v>432</v>
      </c>
      <c r="Z53">
        <v>101</v>
      </c>
      <c r="AA53">
        <v>110</v>
      </c>
      <c r="AB53">
        <v>2.58</v>
      </c>
      <c r="AC53">
        <v>5.4</v>
      </c>
      <c r="AD53">
        <v>75</v>
      </c>
      <c r="AE53" t="s">
        <v>55</v>
      </c>
      <c r="AF53" t="s">
        <v>64</v>
      </c>
      <c r="AG53" t="s">
        <v>103</v>
      </c>
      <c r="AH53" t="s">
        <v>104</v>
      </c>
      <c r="AI53">
        <v>67</v>
      </c>
      <c r="AJ53" t="s">
        <v>55</v>
      </c>
      <c r="AK53" t="s">
        <v>55</v>
      </c>
      <c r="AL53" t="s">
        <v>56</v>
      </c>
      <c r="AM53" t="s">
        <v>84</v>
      </c>
      <c r="AN53" t="s">
        <v>56</v>
      </c>
      <c r="AO53">
        <v>7</v>
      </c>
      <c r="AP53" t="s">
        <v>66</v>
      </c>
      <c r="AQ53" t="s">
        <v>85</v>
      </c>
      <c r="AR53" t="s">
        <v>55</v>
      </c>
      <c r="AS53" t="s">
        <v>55</v>
      </c>
      <c r="AT53" t="s">
        <v>55</v>
      </c>
      <c r="AU53">
        <v>90</v>
      </c>
      <c r="AV53">
        <v>2.06</v>
      </c>
      <c r="AW53" t="s">
        <v>68</v>
      </c>
      <c r="AX53" t="s">
        <v>69</v>
      </c>
    </row>
    <row r="54" spans="1:50">
      <c r="A54" t="s">
        <v>194</v>
      </c>
      <c r="B54">
        <v>43634</v>
      </c>
      <c r="C54">
        <v>71</v>
      </c>
      <c r="D54" t="s">
        <v>53</v>
      </c>
      <c r="E54">
        <v>27.1</v>
      </c>
      <c r="F54" t="s">
        <v>79</v>
      </c>
      <c r="G54" t="s">
        <v>56</v>
      </c>
      <c r="H54" t="s">
        <v>55</v>
      </c>
      <c r="I54" t="s">
        <v>55</v>
      </c>
      <c r="J54" t="s">
        <v>55</v>
      </c>
      <c r="K54" t="s">
        <v>55</v>
      </c>
      <c r="L54" t="s">
        <v>57</v>
      </c>
      <c r="M54" t="s">
        <v>156</v>
      </c>
      <c r="N54">
        <v>883</v>
      </c>
      <c r="O54">
        <v>122</v>
      </c>
      <c r="P54">
        <v>95</v>
      </c>
      <c r="Q54">
        <v>98</v>
      </c>
      <c r="R54">
        <v>87</v>
      </c>
      <c r="S54">
        <v>2</v>
      </c>
      <c r="T54">
        <v>3</v>
      </c>
      <c r="U54" t="s">
        <v>95</v>
      </c>
      <c r="V54" t="s">
        <v>137</v>
      </c>
      <c r="W54">
        <v>0.127</v>
      </c>
      <c r="X54">
        <v>330</v>
      </c>
      <c r="Y54">
        <v>3051</v>
      </c>
      <c r="Z54">
        <v>45</v>
      </c>
      <c r="AA54">
        <v>89</v>
      </c>
      <c r="AB54">
        <v>1.47</v>
      </c>
      <c r="AC54">
        <v>6.7</v>
      </c>
      <c r="AD54">
        <v>60</v>
      </c>
      <c r="AE54" t="s">
        <v>56</v>
      </c>
      <c r="AF54" t="s">
        <v>61</v>
      </c>
      <c r="AG54" t="s">
        <v>62</v>
      </c>
      <c r="AH54" t="s">
        <v>63</v>
      </c>
      <c r="AI54" t="s">
        <v>64</v>
      </c>
      <c r="AJ54" t="s">
        <v>55</v>
      </c>
      <c r="AK54" t="s">
        <v>55</v>
      </c>
      <c r="AL54" t="s">
        <v>56</v>
      </c>
      <c r="AM54" t="s">
        <v>65</v>
      </c>
      <c r="AN54" t="s">
        <v>56</v>
      </c>
      <c r="AO54">
        <v>11</v>
      </c>
      <c r="AP54" t="s">
        <v>66</v>
      </c>
      <c r="AQ54" t="s">
        <v>67</v>
      </c>
      <c r="AR54" t="s">
        <v>55</v>
      </c>
      <c r="AS54" t="s">
        <v>56</v>
      </c>
      <c r="AT54" t="s">
        <v>56</v>
      </c>
      <c r="AU54">
        <v>91</v>
      </c>
      <c r="AV54">
        <v>2.62</v>
      </c>
      <c r="AW54" t="s">
        <v>86</v>
      </c>
      <c r="AX54" t="s">
        <v>69</v>
      </c>
    </row>
    <row r="55" spans="1:50">
      <c r="A55" t="s">
        <v>195</v>
      </c>
      <c r="B55">
        <v>43639</v>
      </c>
      <c r="C55">
        <v>71</v>
      </c>
      <c r="D55" t="s">
        <v>89</v>
      </c>
      <c r="E55">
        <v>21.9</v>
      </c>
      <c r="F55" t="s">
        <v>54</v>
      </c>
      <c r="G55" t="s">
        <v>56</v>
      </c>
      <c r="H55" t="s">
        <v>55</v>
      </c>
      <c r="I55" t="s">
        <v>55</v>
      </c>
      <c r="J55" t="s">
        <v>56</v>
      </c>
      <c r="K55" t="s">
        <v>55</v>
      </c>
      <c r="L55" t="s">
        <v>108</v>
      </c>
      <c r="M55" t="s">
        <v>113</v>
      </c>
      <c r="N55">
        <v>1835</v>
      </c>
      <c r="O55">
        <v>119</v>
      </c>
      <c r="P55">
        <v>80</v>
      </c>
      <c r="Q55">
        <v>99</v>
      </c>
      <c r="R55">
        <v>85</v>
      </c>
      <c r="S55">
        <v>2</v>
      </c>
      <c r="T55">
        <v>2</v>
      </c>
      <c r="U55" t="s">
        <v>73</v>
      </c>
      <c r="V55" t="s">
        <v>91</v>
      </c>
      <c r="W55">
        <v>0.28899999999999998</v>
      </c>
      <c r="X55">
        <v>5185</v>
      </c>
      <c r="Y55">
        <v>499</v>
      </c>
      <c r="Z55">
        <v>105</v>
      </c>
      <c r="AA55">
        <v>69</v>
      </c>
      <c r="AB55">
        <v>2.82</v>
      </c>
      <c r="AC55">
        <v>6.9</v>
      </c>
      <c r="AD55">
        <v>35</v>
      </c>
      <c r="AE55" t="s">
        <v>55</v>
      </c>
      <c r="AF55" t="s">
        <v>64</v>
      </c>
      <c r="AG55" t="s">
        <v>62</v>
      </c>
      <c r="AH55" t="s">
        <v>63</v>
      </c>
      <c r="AI55" t="s">
        <v>64</v>
      </c>
      <c r="AJ55" t="s">
        <v>55</v>
      </c>
      <c r="AK55" t="s">
        <v>55</v>
      </c>
      <c r="AL55" t="s">
        <v>55</v>
      </c>
      <c r="AM55" t="s">
        <v>110</v>
      </c>
      <c r="AN55" t="s">
        <v>56</v>
      </c>
      <c r="AO55">
        <v>11</v>
      </c>
      <c r="AP55" t="s">
        <v>184</v>
      </c>
      <c r="AQ55" t="s">
        <v>76</v>
      </c>
      <c r="AR55" t="s">
        <v>55</v>
      </c>
      <c r="AS55" t="s">
        <v>55</v>
      </c>
      <c r="AT55" t="s">
        <v>56</v>
      </c>
      <c r="AU55">
        <v>98</v>
      </c>
      <c r="AV55">
        <v>2.65</v>
      </c>
      <c r="AW55" t="s">
        <v>86</v>
      </c>
      <c r="AX55" t="s">
        <v>69</v>
      </c>
    </row>
    <row r="56" spans="1:50">
      <c r="A56" t="s">
        <v>196</v>
      </c>
      <c r="B56">
        <v>43639</v>
      </c>
      <c r="C56">
        <v>27</v>
      </c>
      <c r="D56" t="s">
        <v>53</v>
      </c>
      <c r="E56">
        <v>27.9</v>
      </c>
      <c r="F56" t="s">
        <v>90</v>
      </c>
      <c r="G56" t="s">
        <v>55</v>
      </c>
      <c r="H56" t="s">
        <v>55</v>
      </c>
      <c r="I56" t="s">
        <v>55</v>
      </c>
      <c r="J56" t="s">
        <v>55</v>
      </c>
      <c r="K56" t="s">
        <v>55</v>
      </c>
      <c r="L56" t="s">
        <v>57</v>
      </c>
      <c r="M56" t="s">
        <v>58</v>
      </c>
      <c r="N56">
        <v>646</v>
      </c>
      <c r="O56">
        <v>131</v>
      </c>
      <c r="P56">
        <v>77</v>
      </c>
      <c r="Q56">
        <v>143</v>
      </c>
      <c r="R56">
        <v>83</v>
      </c>
      <c r="S56">
        <v>1</v>
      </c>
      <c r="T56">
        <v>2</v>
      </c>
      <c r="U56" t="s">
        <v>73</v>
      </c>
      <c r="V56" t="s">
        <v>137</v>
      </c>
      <c r="W56">
        <v>3.3000000000000002E-2</v>
      </c>
      <c r="X56">
        <v>161</v>
      </c>
      <c r="Y56">
        <v>7407</v>
      </c>
      <c r="Z56">
        <v>86</v>
      </c>
      <c r="AA56">
        <v>114</v>
      </c>
      <c r="AB56">
        <v>2.64</v>
      </c>
      <c r="AC56">
        <v>5.5</v>
      </c>
      <c r="AD56">
        <v>37</v>
      </c>
      <c r="AE56" t="s">
        <v>56</v>
      </c>
      <c r="AF56" t="s">
        <v>157</v>
      </c>
      <c r="AG56" t="s">
        <v>62</v>
      </c>
      <c r="AH56" t="s">
        <v>63</v>
      </c>
      <c r="AI56" t="s">
        <v>64</v>
      </c>
      <c r="AJ56" t="s">
        <v>55</v>
      </c>
      <c r="AK56" t="s">
        <v>55</v>
      </c>
      <c r="AL56" t="s">
        <v>56</v>
      </c>
      <c r="AM56" t="s">
        <v>65</v>
      </c>
      <c r="AN56" t="s">
        <v>56</v>
      </c>
      <c r="AO56">
        <v>10</v>
      </c>
      <c r="AP56" t="s">
        <v>171</v>
      </c>
      <c r="AQ56" t="s">
        <v>67</v>
      </c>
      <c r="AR56" t="s">
        <v>55</v>
      </c>
      <c r="AS56" t="s">
        <v>56</v>
      </c>
      <c r="AT56" t="s">
        <v>56</v>
      </c>
      <c r="AU56">
        <v>100</v>
      </c>
      <c r="AV56">
        <v>1.34</v>
      </c>
      <c r="AW56" t="s">
        <v>68</v>
      </c>
      <c r="AX56" t="s">
        <v>69</v>
      </c>
    </row>
    <row r="57" spans="1:50">
      <c r="A57" t="s">
        <v>197</v>
      </c>
      <c r="B57">
        <v>43643</v>
      </c>
      <c r="C57">
        <v>48</v>
      </c>
      <c r="D57" t="s">
        <v>89</v>
      </c>
      <c r="E57">
        <v>29.3</v>
      </c>
      <c r="F57" t="s">
        <v>90</v>
      </c>
      <c r="G57" t="s">
        <v>55</v>
      </c>
      <c r="H57" t="s">
        <v>55</v>
      </c>
      <c r="I57" t="s">
        <v>55</v>
      </c>
      <c r="J57" t="s">
        <v>55</v>
      </c>
      <c r="K57" t="s">
        <v>55</v>
      </c>
      <c r="L57" t="s">
        <v>159</v>
      </c>
      <c r="M57" t="s">
        <v>160</v>
      </c>
      <c r="N57">
        <v>539</v>
      </c>
      <c r="O57">
        <v>143</v>
      </c>
      <c r="P57">
        <v>74</v>
      </c>
      <c r="Q57">
        <v>104</v>
      </c>
      <c r="R57">
        <v>96</v>
      </c>
      <c r="S57">
        <v>1</v>
      </c>
      <c r="T57">
        <v>3</v>
      </c>
      <c r="U57" t="s">
        <v>59</v>
      </c>
      <c r="V57" t="s">
        <v>96</v>
      </c>
      <c r="W57">
        <v>1.7999999999999999E-2</v>
      </c>
      <c r="X57">
        <v>142</v>
      </c>
      <c r="Y57">
        <v>1016</v>
      </c>
      <c r="Z57">
        <v>113</v>
      </c>
      <c r="AA57">
        <v>93</v>
      </c>
      <c r="AB57">
        <v>3.85</v>
      </c>
      <c r="AC57">
        <v>5.6</v>
      </c>
      <c r="AD57">
        <v>57</v>
      </c>
      <c r="AE57" t="s">
        <v>55</v>
      </c>
      <c r="AF57" t="s">
        <v>64</v>
      </c>
      <c r="AG57" t="s">
        <v>97</v>
      </c>
      <c r="AH57" t="s">
        <v>83</v>
      </c>
      <c r="AI57">
        <v>94</v>
      </c>
      <c r="AJ57" t="s">
        <v>56</v>
      </c>
      <c r="AK57" t="s">
        <v>55</v>
      </c>
      <c r="AL57" t="s">
        <v>55</v>
      </c>
      <c r="AM57" t="s">
        <v>161</v>
      </c>
      <c r="AN57" t="s">
        <v>55</v>
      </c>
      <c r="AO57">
        <v>3</v>
      </c>
      <c r="AP57" t="s">
        <v>184</v>
      </c>
      <c r="AQ57" t="s">
        <v>85</v>
      </c>
      <c r="AR57" t="s">
        <v>55</v>
      </c>
      <c r="AS57" t="s">
        <v>55</v>
      </c>
      <c r="AT57" t="s">
        <v>55</v>
      </c>
      <c r="AU57">
        <v>97</v>
      </c>
      <c r="AV57">
        <v>0.96</v>
      </c>
      <c r="AW57" t="s">
        <v>68</v>
      </c>
      <c r="AX57" t="s">
        <v>69</v>
      </c>
    </row>
    <row r="58" spans="1:50">
      <c r="A58" t="s">
        <v>198</v>
      </c>
      <c r="B58">
        <v>43644</v>
      </c>
      <c r="C58">
        <v>52</v>
      </c>
      <c r="D58" t="s">
        <v>89</v>
      </c>
      <c r="E58">
        <v>30.2</v>
      </c>
      <c r="F58" t="s">
        <v>79</v>
      </c>
      <c r="G58" t="s">
        <v>55</v>
      </c>
      <c r="H58" t="s">
        <v>56</v>
      </c>
      <c r="I58" t="s">
        <v>55</v>
      </c>
      <c r="J58" t="s">
        <v>55</v>
      </c>
      <c r="K58" t="s">
        <v>55</v>
      </c>
      <c r="L58" t="s">
        <v>101</v>
      </c>
      <c r="M58" t="s">
        <v>102</v>
      </c>
      <c r="N58">
        <v>49</v>
      </c>
      <c r="O58">
        <v>126</v>
      </c>
      <c r="P58">
        <v>91</v>
      </c>
      <c r="Q58">
        <v>80</v>
      </c>
      <c r="R58">
        <v>95</v>
      </c>
      <c r="S58">
        <v>2</v>
      </c>
      <c r="T58">
        <v>4</v>
      </c>
      <c r="U58" t="s">
        <v>73</v>
      </c>
      <c r="V58" t="s">
        <v>96</v>
      </c>
      <c r="W58">
        <v>1.7529999999999999</v>
      </c>
      <c r="X58">
        <v>190</v>
      </c>
      <c r="Y58">
        <v>345</v>
      </c>
      <c r="Z58">
        <v>86</v>
      </c>
      <c r="AA58">
        <v>88</v>
      </c>
      <c r="AB58">
        <v>3.76</v>
      </c>
      <c r="AC58">
        <v>5.4</v>
      </c>
      <c r="AD58">
        <v>58</v>
      </c>
      <c r="AE58" t="s">
        <v>55</v>
      </c>
      <c r="AF58" t="s">
        <v>64</v>
      </c>
      <c r="AG58" t="s">
        <v>82</v>
      </c>
      <c r="AH58" t="s">
        <v>83</v>
      </c>
      <c r="AI58">
        <v>45</v>
      </c>
      <c r="AJ58" t="s">
        <v>55</v>
      </c>
      <c r="AK58" t="s">
        <v>55</v>
      </c>
      <c r="AL58" t="s">
        <v>56</v>
      </c>
      <c r="AM58" t="s">
        <v>105</v>
      </c>
      <c r="AN58" t="s">
        <v>56</v>
      </c>
      <c r="AO58">
        <v>6</v>
      </c>
      <c r="AP58" t="s">
        <v>144</v>
      </c>
      <c r="AQ58" t="s">
        <v>85</v>
      </c>
      <c r="AR58" t="s">
        <v>56</v>
      </c>
      <c r="AS58" t="s">
        <v>55</v>
      </c>
      <c r="AT58" t="s">
        <v>56</v>
      </c>
      <c r="AU58">
        <v>72</v>
      </c>
      <c r="AV58">
        <v>2.29</v>
      </c>
      <c r="AW58" t="s">
        <v>86</v>
      </c>
      <c r="AX58" t="s">
        <v>115</v>
      </c>
    </row>
    <row r="59" spans="1:50">
      <c r="A59" t="s">
        <v>199</v>
      </c>
      <c r="B59">
        <v>43649</v>
      </c>
      <c r="C59">
        <v>82</v>
      </c>
      <c r="D59" t="s">
        <v>53</v>
      </c>
      <c r="E59">
        <v>22.3</v>
      </c>
      <c r="F59" t="s">
        <v>79</v>
      </c>
      <c r="G59" t="s">
        <v>55</v>
      </c>
      <c r="H59" t="s">
        <v>56</v>
      </c>
      <c r="I59" t="s">
        <v>55</v>
      </c>
      <c r="J59" t="s">
        <v>55</v>
      </c>
      <c r="K59" t="s">
        <v>55</v>
      </c>
      <c r="L59" t="s">
        <v>131</v>
      </c>
      <c r="M59" t="s">
        <v>169</v>
      </c>
      <c r="N59">
        <v>735</v>
      </c>
      <c r="O59">
        <v>96</v>
      </c>
      <c r="P59">
        <v>66</v>
      </c>
      <c r="Q59">
        <v>80</v>
      </c>
      <c r="R59">
        <v>97</v>
      </c>
      <c r="S59">
        <v>1</v>
      </c>
      <c r="T59">
        <v>1</v>
      </c>
      <c r="U59" t="s">
        <v>59</v>
      </c>
      <c r="V59" t="s">
        <v>91</v>
      </c>
      <c r="W59">
        <v>3.988</v>
      </c>
      <c r="X59">
        <v>125</v>
      </c>
      <c r="Y59">
        <v>323</v>
      </c>
      <c r="Z59">
        <v>96</v>
      </c>
      <c r="AA59">
        <v>85</v>
      </c>
      <c r="AB59">
        <v>2.97</v>
      </c>
      <c r="AC59">
        <v>5.8</v>
      </c>
      <c r="AD59">
        <v>47</v>
      </c>
      <c r="AE59" t="s">
        <v>55</v>
      </c>
      <c r="AF59" t="s">
        <v>64</v>
      </c>
      <c r="AG59" t="s">
        <v>82</v>
      </c>
      <c r="AH59" t="s">
        <v>133</v>
      </c>
      <c r="AI59">
        <v>84</v>
      </c>
      <c r="AJ59" t="s">
        <v>56</v>
      </c>
      <c r="AK59" t="s">
        <v>55</v>
      </c>
      <c r="AL59" t="s">
        <v>56</v>
      </c>
      <c r="AM59" t="s">
        <v>134</v>
      </c>
      <c r="AN59" t="s">
        <v>55</v>
      </c>
      <c r="AO59">
        <v>5</v>
      </c>
      <c r="AP59" t="s">
        <v>66</v>
      </c>
      <c r="AQ59" t="s">
        <v>85</v>
      </c>
      <c r="AR59" t="s">
        <v>55</v>
      </c>
      <c r="AS59" t="s">
        <v>55</v>
      </c>
      <c r="AT59" t="s">
        <v>55</v>
      </c>
      <c r="AU59">
        <v>85</v>
      </c>
      <c r="AV59">
        <v>2.83</v>
      </c>
      <c r="AW59" t="s">
        <v>86</v>
      </c>
      <c r="AX59" t="s">
        <v>69</v>
      </c>
    </row>
    <row r="60" spans="1:50">
      <c r="A60" t="s">
        <v>200</v>
      </c>
      <c r="B60">
        <v>43657</v>
      </c>
      <c r="C60">
        <v>59</v>
      </c>
      <c r="D60" t="s">
        <v>89</v>
      </c>
      <c r="E60">
        <v>26.2</v>
      </c>
      <c r="F60" t="s">
        <v>54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159</v>
      </c>
      <c r="M60" t="s">
        <v>175</v>
      </c>
      <c r="N60">
        <v>3491</v>
      </c>
      <c r="O60">
        <v>123</v>
      </c>
      <c r="P60">
        <v>87</v>
      </c>
      <c r="Q60">
        <v>105</v>
      </c>
      <c r="R60">
        <v>94</v>
      </c>
      <c r="S60">
        <v>2</v>
      </c>
      <c r="T60">
        <v>2</v>
      </c>
      <c r="U60" t="s">
        <v>66</v>
      </c>
      <c r="V60" t="s">
        <v>137</v>
      </c>
      <c r="W60">
        <v>2.1999999999999999E-2</v>
      </c>
      <c r="X60">
        <v>285</v>
      </c>
      <c r="Y60">
        <v>553</v>
      </c>
      <c r="Z60">
        <v>66</v>
      </c>
      <c r="AA60">
        <v>97</v>
      </c>
      <c r="AB60">
        <v>3.7</v>
      </c>
      <c r="AC60">
        <v>5.8</v>
      </c>
      <c r="AD60">
        <v>40</v>
      </c>
      <c r="AE60" t="s">
        <v>55</v>
      </c>
      <c r="AF60" t="s">
        <v>64</v>
      </c>
      <c r="AG60" t="s">
        <v>97</v>
      </c>
      <c r="AH60" t="s">
        <v>98</v>
      </c>
      <c r="AI60">
        <v>100</v>
      </c>
      <c r="AJ60" t="s">
        <v>56</v>
      </c>
      <c r="AK60" t="s">
        <v>55</v>
      </c>
      <c r="AL60" t="s">
        <v>55</v>
      </c>
      <c r="AM60" t="s">
        <v>161</v>
      </c>
      <c r="AN60" t="s">
        <v>55</v>
      </c>
      <c r="AO60">
        <v>3</v>
      </c>
      <c r="AP60" t="s">
        <v>66</v>
      </c>
      <c r="AQ60" t="s">
        <v>67</v>
      </c>
      <c r="AR60" t="s">
        <v>55</v>
      </c>
      <c r="AS60" t="s">
        <v>55</v>
      </c>
      <c r="AT60" t="s">
        <v>55</v>
      </c>
      <c r="AU60">
        <v>100</v>
      </c>
      <c r="AV60">
        <v>1.58</v>
      </c>
      <c r="AW60" t="s">
        <v>68</v>
      </c>
      <c r="AX60" t="s">
        <v>69</v>
      </c>
    </row>
    <row r="61" spans="1:50">
      <c r="A61" t="s">
        <v>201</v>
      </c>
      <c r="B61">
        <v>43659</v>
      </c>
      <c r="C61">
        <v>49</v>
      </c>
      <c r="D61" t="s">
        <v>53</v>
      </c>
      <c r="E61">
        <v>25.8</v>
      </c>
      <c r="F61" t="s">
        <v>90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123</v>
      </c>
      <c r="M61" t="s">
        <v>202</v>
      </c>
      <c r="N61">
        <v>3803</v>
      </c>
      <c r="O61">
        <v>88</v>
      </c>
      <c r="P61">
        <v>68</v>
      </c>
      <c r="Q61">
        <v>105</v>
      </c>
      <c r="R61">
        <v>93</v>
      </c>
      <c r="S61">
        <v>3</v>
      </c>
      <c r="T61">
        <v>2</v>
      </c>
      <c r="U61" t="s">
        <v>66</v>
      </c>
      <c r="V61" t="s">
        <v>74</v>
      </c>
      <c r="W61">
        <v>2.7E-2</v>
      </c>
      <c r="X61">
        <v>145</v>
      </c>
      <c r="Y61">
        <v>120</v>
      </c>
      <c r="Z61">
        <v>89</v>
      </c>
      <c r="AA61">
        <v>101</v>
      </c>
      <c r="AB61">
        <v>2.5</v>
      </c>
      <c r="AC61">
        <v>5.8</v>
      </c>
      <c r="AD61">
        <v>51</v>
      </c>
      <c r="AE61" t="s">
        <v>55</v>
      </c>
      <c r="AF61" t="s">
        <v>64</v>
      </c>
      <c r="AG61" t="s">
        <v>62</v>
      </c>
      <c r="AH61" t="s">
        <v>63</v>
      </c>
      <c r="AI61" t="s">
        <v>64</v>
      </c>
      <c r="AJ61" t="s">
        <v>55</v>
      </c>
      <c r="AK61" t="s">
        <v>55</v>
      </c>
      <c r="AL61" t="s">
        <v>56</v>
      </c>
      <c r="AM61" t="s">
        <v>125</v>
      </c>
      <c r="AN61" t="s">
        <v>56</v>
      </c>
      <c r="AO61">
        <v>9</v>
      </c>
      <c r="AP61" t="s">
        <v>184</v>
      </c>
      <c r="AQ61" t="s">
        <v>178</v>
      </c>
      <c r="AR61" t="s">
        <v>55</v>
      </c>
      <c r="AS61" t="s">
        <v>55</v>
      </c>
      <c r="AT61" t="s">
        <v>55</v>
      </c>
      <c r="AU61">
        <v>99</v>
      </c>
      <c r="AV61">
        <v>3.4</v>
      </c>
      <c r="AW61" t="s">
        <v>86</v>
      </c>
      <c r="AX61" t="s">
        <v>69</v>
      </c>
    </row>
    <row r="62" spans="1:50">
      <c r="A62" t="s">
        <v>203</v>
      </c>
      <c r="B62">
        <v>43664</v>
      </c>
      <c r="C62">
        <v>55</v>
      </c>
      <c r="D62" t="s">
        <v>53</v>
      </c>
      <c r="E62">
        <v>34.799999999999997</v>
      </c>
      <c r="F62" t="s">
        <v>90</v>
      </c>
      <c r="G62" t="s">
        <v>55</v>
      </c>
      <c r="H62" t="s">
        <v>55</v>
      </c>
      <c r="I62" t="s">
        <v>55</v>
      </c>
      <c r="J62" t="s">
        <v>55</v>
      </c>
      <c r="K62" t="s">
        <v>55</v>
      </c>
      <c r="L62" t="s">
        <v>159</v>
      </c>
      <c r="M62" t="s">
        <v>175</v>
      </c>
      <c r="N62">
        <v>1066</v>
      </c>
      <c r="O62">
        <v>138</v>
      </c>
      <c r="P62">
        <v>86</v>
      </c>
      <c r="Q62">
        <v>86</v>
      </c>
      <c r="R62">
        <v>98</v>
      </c>
      <c r="S62">
        <v>1</v>
      </c>
      <c r="T62">
        <v>3</v>
      </c>
      <c r="U62" t="s">
        <v>95</v>
      </c>
      <c r="V62" t="s">
        <v>74</v>
      </c>
      <c r="W62">
        <v>3.0000000000000001E-3</v>
      </c>
      <c r="X62">
        <v>84</v>
      </c>
      <c r="Y62">
        <v>657</v>
      </c>
      <c r="Z62">
        <v>79</v>
      </c>
      <c r="AA62">
        <v>107</v>
      </c>
      <c r="AB62">
        <v>4.63</v>
      </c>
      <c r="AC62">
        <v>5.3</v>
      </c>
      <c r="AD62">
        <v>36</v>
      </c>
      <c r="AE62" t="s">
        <v>55</v>
      </c>
      <c r="AF62" t="s">
        <v>64</v>
      </c>
      <c r="AG62" t="s">
        <v>103</v>
      </c>
      <c r="AH62" t="s">
        <v>133</v>
      </c>
      <c r="AI62">
        <v>44</v>
      </c>
      <c r="AJ62" t="s">
        <v>55</v>
      </c>
      <c r="AK62" t="s">
        <v>55</v>
      </c>
      <c r="AL62" t="s">
        <v>55</v>
      </c>
      <c r="AM62" t="s">
        <v>161</v>
      </c>
      <c r="AN62" t="s">
        <v>55</v>
      </c>
      <c r="AO62">
        <v>2</v>
      </c>
      <c r="AP62" t="s">
        <v>66</v>
      </c>
      <c r="AQ62" t="s">
        <v>67</v>
      </c>
      <c r="AR62" t="s">
        <v>55</v>
      </c>
      <c r="AS62" t="s">
        <v>55</v>
      </c>
      <c r="AT62" t="s">
        <v>55</v>
      </c>
      <c r="AU62">
        <v>94</v>
      </c>
      <c r="AV62">
        <v>1.1000000000000001</v>
      </c>
      <c r="AW62" t="s">
        <v>68</v>
      </c>
      <c r="AX62" t="s">
        <v>69</v>
      </c>
    </row>
    <row r="63" spans="1:50">
      <c r="A63" t="s">
        <v>204</v>
      </c>
      <c r="B63">
        <v>43665</v>
      </c>
      <c r="C63">
        <v>68</v>
      </c>
      <c r="D63" t="s">
        <v>53</v>
      </c>
      <c r="E63">
        <v>21.4</v>
      </c>
      <c r="F63" t="s">
        <v>54</v>
      </c>
      <c r="G63" t="s">
        <v>56</v>
      </c>
      <c r="H63" t="s">
        <v>56</v>
      </c>
      <c r="I63" t="s">
        <v>55</v>
      </c>
      <c r="J63" t="s">
        <v>55</v>
      </c>
      <c r="K63" t="s">
        <v>55</v>
      </c>
      <c r="L63" t="s">
        <v>80</v>
      </c>
      <c r="M63" t="s">
        <v>163</v>
      </c>
      <c r="N63">
        <v>1633</v>
      </c>
      <c r="O63">
        <v>158</v>
      </c>
      <c r="P63">
        <v>101</v>
      </c>
      <c r="Q63">
        <v>113</v>
      </c>
      <c r="R63">
        <v>94</v>
      </c>
      <c r="S63">
        <v>1</v>
      </c>
      <c r="T63">
        <v>1</v>
      </c>
      <c r="U63" t="s">
        <v>95</v>
      </c>
      <c r="V63" t="s">
        <v>91</v>
      </c>
      <c r="W63">
        <v>3.1E-2</v>
      </c>
      <c r="X63">
        <v>302</v>
      </c>
      <c r="Y63">
        <v>479</v>
      </c>
      <c r="Z63">
        <v>96</v>
      </c>
      <c r="AA63">
        <v>87</v>
      </c>
      <c r="AB63">
        <v>3.79</v>
      </c>
      <c r="AC63">
        <v>7.1</v>
      </c>
      <c r="AD63">
        <v>45</v>
      </c>
      <c r="AE63" t="s">
        <v>55</v>
      </c>
      <c r="AF63" t="s">
        <v>64</v>
      </c>
      <c r="AG63" t="s">
        <v>97</v>
      </c>
      <c r="AH63" t="s">
        <v>83</v>
      </c>
      <c r="AI63">
        <v>69</v>
      </c>
      <c r="AJ63" t="s">
        <v>55</v>
      </c>
      <c r="AK63" t="s">
        <v>55</v>
      </c>
      <c r="AL63" t="s">
        <v>55</v>
      </c>
      <c r="AM63" t="s">
        <v>84</v>
      </c>
      <c r="AN63" t="s">
        <v>55</v>
      </c>
      <c r="AO63">
        <v>1</v>
      </c>
      <c r="AP63" t="s">
        <v>66</v>
      </c>
      <c r="AQ63" t="s">
        <v>85</v>
      </c>
      <c r="AR63" t="s">
        <v>55</v>
      </c>
      <c r="AS63" t="s">
        <v>55</v>
      </c>
      <c r="AT63" t="s">
        <v>55</v>
      </c>
      <c r="AU63">
        <v>95</v>
      </c>
      <c r="AV63">
        <v>1.36</v>
      </c>
      <c r="AW63" t="s">
        <v>68</v>
      </c>
      <c r="AX63" t="s">
        <v>69</v>
      </c>
    </row>
    <row r="64" spans="1:50">
      <c r="A64" t="s">
        <v>205</v>
      </c>
      <c r="B64">
        <v>43669</v>
      </c>
      <c r="C64">
        <v>77</v>
      </c>
      <c r="D64" t="s">
        <v>53</v>
      </c>
      <c r="E64">
        <v>24.2</v>
      </c>
      <c r="F64" t="s">
        <v>54</v>
      </c>
      <c r="G64" t="s">
        <v>56</v>
      </c>
      <c r="H64" t="s">
        <v>56</v>
      </c>
      <c r="I64" t="s">
        <v>56</v>
      </c>
      <c r="J64" t="s">
        <v>56</v>
      </c>
      <c r="K64" t="s">
        <v>55</v>
      </c>
      <c r="L64" t="s">
        <v>71</v>
      </c>
      <c r="M64" t="s">
        <v>206</v>
      </c>
      <c r="N64">
        <v>219</v>
      </c>
      <c r="O64">
        <v>123</v>
      </c>
      <c r="P64">
        <v>76</v>
      </c>
      <c r="Q64">
        <v>90</v>
      </c>
      <c r="R64">
        <v>95</v>
      </c>
      <c r="S64">
        <v>1</v>
      </c>
      <c r="T64">
        <v>2</v>
      </c>
      <c r="U64" t="s">
        <v>66</v>
      </c>
      <c r="V64" t="s">
        <v>91</v>
      </c>
      <c r="W64">
        <v>3.3260000000000001</v>
      </c>
      <c r="X64">
        <v>232</v>
      </c>
      <c r="Y64">
        <v>672</v>
      </c>
      <c r="Z64">
        <v>137</v>
      </c>
      <c r="AA64">
        <v>32</v>
      </c>
      <c r="AB64">
        <v>2.81</v>
      </c>
      <c r="AC64">
        <v>6.5</v>
      </c>
      <c r="AD64">
        <v>56</v>
      </c>
      <c r="AE64" t="s">
        <v>55</v>
      </c>
      <c r="AF64" t="s">
        <v>64</v>
      </c>
      <c r="AG64" t="s">
        <v>62</v>
      </c>
      <c r="AH64" t="s">
        <v>63</v>
      </c>
      <c r="AI64" t="s">
        <v>64</v>
      </c>
      <c r="AJ64" t="s">
        <v>55</v>
      </c>
      <c r="AK64" t="s">
        <v>55</v>
      </c>
      <c r="AL64" t="s">
        <v>55</v>
      </c>
      <c r="AM64" t="s">
        <v>75</v>
      </c>
      <c r="AN64" t="s">
        <v>55</v>
      </c>
      <c r="AO64">
        <v>1</v>
      </c>
      <c r="AP64" t="s">
        <v>66</v>
      </c>
      <c r="AQ64" t="s">
        <v>126</v>
      </c>
      <c r="AR64" t="s">
        <v>55</v>
      </c>
      <c r="AS64" t="s">
        <v>55</v>
      </c>
      <c r="AT64" t="s">
        <v>55</v>
      </c>
      <c r="AU64">
        <v>96</v>
      </c>
      <c r="AV64">
        <v>2.14</v>
      </c>
      <c r="AW64" t="s">
        <v>68</v>
      </c>
      <c r="AX64" t="s">
        <v>69</v>
      </c>
    </row>
    <row r="65" spans="1:50">
      <c r="A65" t="s">
        <v>207</v>
      </c>
      <c r="B65">
        <v>43673</v>
      </c>
      <c r="C65">
        <v>39</v>
      </c>
      <c r="D65" t="s">
        <v>89</v>
      </c>
      <c r="E65">
        <v>30.8</v>
      </c>
      <c r="F65" t="s">
        <v>54</v>
      </c>
      <c r="G65" t="s">
        <v>56</v>
      </c>
      <c r="H65" t="s">
        <v>56</v>
      </c>
      <c r="I65" t="s">
        <v>55</v>
      </c>
      <c r="J65" t="s">
        <v>55</v>
      </c>
      <c r="K65" t="s">
        <v>55</v>
      </c>
      <c r="L65" t="s">
        <v>108</v>
      </c>
      <c r="M65" t="s">
        <v>117</v>
      </c>
      <c r="N65">
        <v>1219</v>
      </c>
      <c r="O65">
        <v>130</v>
      </c>
      <c r="P65">
        <v>56</v>
      </c>
      <c r="Q65">
        <v>100</v>
      </c>
      <c r="R65">
        <v>82</v>
      </c>
      <c r="S65">
        <v>4</v>
      </c>
      <c r="T65">
        <v>4</v>
      </c>
      <c r="U65" t="s">
        <v>73</v>
      </c>
      <c r="V65" t="s">
        <v>137</v>
      </c>
      <c r="W65">
        <v>3.2000000000000001E-2</v>
      </c>
      <c r="X65">
        <v>4236</v>
      </c>
      <c r="Y65">
        <v>1055</v>
      </c>
      <c r="Z65">
        <v>97</v>
      </c>
      <c r="AA65">
        <v>95</v>
      </c>
      <c r="AB65">
        <v>3.43</v>
      </c>
      <c r="AC65">
        <v>6.5</v>
      </c>
      <c r="AD65">
        <v>15</v>
      </c>
      <c r="AE65" t="s">
        <v>55</v>
      </c>
      <c r="AF65" t="s">
        <v>64</v>
      </c>
      <c r="AG65" t="s">
        <v>62</v>
      </c>
      <c r="AH65" t="s">
        <v>63</v>
      </c>
      <c r="AI65" t="s">
        <v>64</v>
      </c>
      <c r="AJ65" t="s">
        <v>55</v>
      </c>
      <c r="AK65" t="s">
        <v>55</v>
      </c>
      <c r="AL65" t="s">
        <v>55</v>
      </c>
      <c r="AM65" t="s">
        <v>110</v>
      </c>
      <c r="AN65" t="s">
        <v>56</v>
      </c>
      <c r="AO65">
        <v>7</v>
      </c>
      <c r="AP65" t="s">
        <v>144</v>
      </c>
      <c r="AQ65" t="s">
        <v>76</v>
      </c>
      <c r="AR65" t="s">
        <v>55</v>
      </c>
      <c r="AS65" t="s">
        <v>55</v>
      </c>
      <c r="AT65" t="s">
        <v>55</v>
      </c>
      <c r="AU65">
        <v>96</v>
      </c>
      <c r="AV65">
        <v>2.78</v>
      </c>
      <c r="AW65" t="s">
        <v>86</v>
      </c>
      <c r="AX65" t="s">
        <v>69</v>
      </c>
    </row>
    <row r="66" spans="1:50">
      <c r="A66" t="s">
        <v>208</v>
      </c>
      <c r="B66">
        <v>43673</v>
      </c>
      <c r="C66">
        <v>55</v>
      </c>
      <c r="D66" t="s">
        <v>89</v>
      </c>
      <c r="E66">
        <v>32.9</v>
      </c>
      <c r="F66" t="s">
        <v>90</v>
      </c>
      <c r="G66" t="s">
        <v>55</v>
      </c>
      <c r="H66" t="s">
        <v>55</v>
      </c>
      <c r="I66" t="s">
        <v>55</v>
      </c>
      <c r="J66" t="s">
        <v>56</v>
      </c>
      <c r="K66" t="s">
        <v>55</v>
      </c>
      <c r="L66" t="s">
        <v>131</v>
      </c>
      <c r="M66" t="s">
        <v>132</v>
      </c>
      <c r="N66">
        <v>335</v>
      </c>
      <c r="O66">
        <v>123</v>
      </c>
      <c r="P66">
        <v>94</v>
      </c>
      <c r="Q66">
        <v>109</v>
      </c>
      <c r="R66">
        <v>97</v>
      </c>
      <c r="S66">
        <v>2</v>
      </c>
      <c r="T66">
        <v>3</v>
      </c>
      <c r="U66" t="s">
        <v>59</v>
      </c>
      <c r="V66" t="s">
        <v>96</v>
      </c>
      <c r="W66">
        <v>15.34</v>
      </c>
      <c r="X66">
        <v>353</v>
      </c>
      <c r="Y66">
        <v>1405</v>
      </c>
      <c r="Z66">
        <v>77</v>
      </c>
      <c r="AA66">
        <v>100</v>
      </c>
      <c r="AB66">
        <v>4.5199999999999996</v>
      </c>
      <c r="AC66">
        <v>6.4</v>
      </c>
      <c r="AD66">
        <v>61</v>
      </c>
      <c r="AE66" t="s">
        <v>55</v>
      </c>
      <c r="AF66" t="s">
        <v>64</v>
      </c>
      <c r="AG66" t="s">
        <v>103</v>
      </c>
      <c r="AH66" t="s">
        <v>83</v>
      </c>
      <c r="AI66">
        <v>80</v>
      </c>
      <c r="AJ66" t="s">
        <v>55</v>
      </c>
      <c r="AK66" t="s">
        <v>55</v>
      </c>
      <c r="AL66" t="s">
        <v>56</v>
      </c>
      <c r="AM66" t="s">
        <v>134</v>
      </c>
      <c r="AN66" t="s">
        <v>55</v>
      </c>
      <c r="AO66">
        <v>2</v>
      </c>
      <c r="AP66" t="s">
        <v>66</v>
      </c>
      <c r="AQ66" t="s">
        <v>85</v>
      </c>
      <c r="AR66" t="s">
        <v>55</v>
      </c>
      <c r="AS66" t="s">
        <v>55</v>
      </c>
      <c r="AT66" t="s">
        <v>55</v>
      </c>
      <c r="AU66">
        <v>83</v>
      </c>
      <c r="AV66">
        <v>1.85</v>
      </c>
      <c r="AW66" t="s">
        <v>68</v>
      </c>
      <c r="AX66" t="s">
        <v>115</v>
      </c>
    </row>
    <row r="67" spans="1:50">
      <c r="A67" t="s">
        <v>209</v>
      </c>
      <c r="B67">
        <v>43675</v>
      </c>
      <c r="C67">
        <v>59</v>
      </c>
      <c r="D67" t="s">
        <v>89</v>
      </c>
      <c r="E67">
        <v>27.6</v>
      </c>
      <c r="F67" t="s">
        <v>54</v>
      </c>
      <c r="G67" t="s">
        <v>56</v>
      </c>
      <c r="H67" t="s">
        <v>55</v>
      </c>
      <c r="I67" t="s">
        <v>55</v>
      </c>
      <c r="J67" t="s">
        <v>56</v>
      </c>
      <c r="K67" t="s">
        <v>55</v>
      </c>
      <c r="L67" t="s">
        <v>131</v>
      </c>
      <c r="M67" t="s">
        <v>132</v>
      </c>
      <c r="N67">
        <v>540</v>
      </c>
      <c r="O67">
        <v>155</v>
      </c>
      <c r="P67">
        <v>69</v>
      </c>
      <c r="Q67">
        <v>70</v>
      </c>
      <c r="R67">
        <v>97</v>
      </c>
      <c r="S67">
        <v>1</v>
      </c>
      <c r="T67">
        <v>2</v>
      </c>
      <c r="U67" t="s">
        <v>59</v>
      </c>
      <c r="V67" t="s">
        <v>91</v>
      </c>
      <c r="W67">
        <v>13.282999999999999</v>
      </c>
      <c r="X67">
        <v>43</v>
      </c>
      <c r="Y67">
        <v>728</v>
      </c>
      <c r="Z67">
        <v>65</v>
      </c>
      <c r="AA67">
        <v>97</v>
      </c>
      <c r="AB67">
        <v>2.42</v>
      </c>
      <c r="AC67">
        <v>7.6</v>
      </c>
      <c r="AD67">
        <v>39</v>
      </c>
      <c r="AE67" t="s">
        <v>55</v>
      </c>
      <c r="AF67" t="s">
        <v>64</v>
      </c>
      <c r="AG67" t="s">
        <v>97</v>
      </c>
      <c r="AH67" t="s">
        <v>133</v>
      </c>
      <c r="AI67">
        <v>100</v>
      </c>
      <c r="AJ67" t="s">
        <v>56</v>
      </c>
      <c r="AK67" t="s">
        <v>55</v>
      </c>
      <c r="AL67" t="s">
        <v>56</v>
      </c>
      <c r="AM67" t="s">
        <v>134</v>
      </c>
      <c r="AN67" t="s">
        <v>55</v>
      </c>
      <c r="AO67">
        <v>2</v>
      </c>
      <c r="AP67" t="s">
        <v>141</v>
      </c>
      <c r="AQ67" t="s">
        <v>85</v>
      </c>
      <c r="AR67" t="s">
        <v>55</v>
      </c>
      <c r="AS67" t="s">
        <v>55</v>
      </c>
      <c r="AT67" t="s">
        <v>55</v>
      </c>
      <c r="AU67">
        <v>88</v>
      </c>
      <c r="AV67">
        <v>1.53</v>
      </c>
      <c r="AW67" t="s">
        <v>68</v>
      </c>
      <c r="AX67" t="s">
        <v>69</v>
      </c>
    </row>
    <row r="68" spans="1:50">
      <c r="A68" t="s">
        <v>210</v>
      </c>
      <c r="B68">
        <v>43676</v>
      </c>
      <c r="C68">
        <v>60</v>
      </c>
      <c r="D68" t="s">
        <v>53</v>
      </c>
      <c r="E68">
        <v>22.8</v>
      </c>
      <c r="F68" t="s">
        <v>54</v>
      </c>
      <c r="G68" t="s">
        <v>55</v>
      </c>
      <c r="H68" t="s">
        <v>56</v>
      </c>
      <c r="I68" t="s">
        <v>55</v>
      </c>
      <c r="J68" t="s">
        <v>55</v>
      </c>
      <c r="K68" t="s">
        <v>55</v>
      </c>
      <c r="L68" t="s">
        <v>57</v>
      </c>
      <c r="M68" t="s">
        <v>156</v>
      </c>
      <c r="N68">
        <v>1397</v>
      </c>
      <c r="O68">
        <v>153</v>
      </c>
      <c r="P68">
        <v>78</v>
      </c>
      <c r="Q68">
        <v>109</v>
      </c>
      <c r="R68">
        <v>93</v>
      </c>
      <c r="S68">
        <v>1</v>
      </c>
      <c r="T68">
        <v>3</v>
      </c>
      <c r="U68" t="s">
        <v>95</v>
      </c>
      <c r="V68" t="s">
        <v>96</v>
      </c>
      <c r="W68">
        <v>7.0999999999999994E-2</v>
      </c>
      <c r="X68">
        <v>172</v>
      </c>
      <c r="Y68">
        <v>13674</v>
      </c>
      <c r="Z68">
        <v>111</v>
      </c>
      <c r="AA68">
        <v>78</v>
      </c>
      <c r="AB68">
        <v>2.93</v>
      </c>
      <c r="AC68">
        <v>5.9</v>
      </c>
      <c r="AD68">
        <v>66</v>
      </c>
      <c r="AE68" t="s">
        <v>56</v>
      </c>
      <c r="AF68" t="s">
        <v>61</v>
      </c>
      <c r="AG68" t="s">
        <v>62</v>
      </c>
      <c r="AH68" t="s">
        <v>63</v>
      </c>
      <c r="AI68" t="s">
        <v>64</v>
      </c>
      <c r="AJ68" t="s">
        <v>55</v>
      </c>
      <c r="AK68" t="s">
        <v>55</v>
      </c>
      <c r="AL68" t="s">
        <v>56</v>
      </c>
      <c r="AM68" t="s">
        <v>65</v>
      </c>
      <c r="AN68" t="s">
        <v>56</v>
      </c>
      <c r="AO68">
        <v>6</v>
      </c>
      <c r="AP68" t="s">
        <v>66</v>
      </c>
      <c r="AQ68" t="s">
        <v>67</v>
      </c>
      <c r="AR68" t="s">
        <v>55</v>
      </c>
      <c r="AS68" t="s">
        <v>55</v>
      </c>
      <c r="AT68" t="s">
        <v>55</v>
      </c>
      <c r="AU68">
        <v>89</v>
      </c>
      <c r="AV68">
        <v>1.7</v>
      </c>
      <c r="AW68" t="s">
        <v>68</v>
      </c>
      <c r="AX68" t="s">
        <v>69</v>
      </c>
    </row>
    <row r="69" spans="1:50">
      <c r="A69" t="s">
        <v>211</v>
      </c>
      <c r="B69">
        <v>43678</v>
      </c>
      <c r="C69">
        <v>57</v>
      </c>
      <c r="D69" t="s">
        <v>89</v>
      </c>
      <c r="E69">
        <v>22.4</v>
      </c>
      <c r="F69" t="s">
        <v>79</v>
      </c>
      <c r="G69" t="s">
        <v>55</v>
      </c>
      <c r="H69" t="s">
        <v>56</v>
      </c>
      <c r="I69" t="s">
        <v>55</v>
      </c>
      <c r="J69" t="s">
        <v>55</v>
      </c>
      <c r="K69" t="s">
        <v>55</v>
      </c>
      <c r="L69" t="s">
        <v>101</v>
      </c>
      <c r="M69" t="s">
        <v>102</v>
      </c>
      <c r="N69">
        <v>1196</v>
      </c>
      <c r="O69">
        <v>129</v>
      </c>
      <c r="P69">
        <v>87</v>
      </c>
      <c r="Q69">
        <v>68</v>
      </c>
      <c r="R69">
        <v>93</v>
      </c>
      <c r="S69">
        <v>1</v>
      </c>
      <c r="T69">
        <v>1</v>
      </c>
      <c r="U69" t="s">
        <v>95</v>
      </c>
      <c r="V69" t="s">
        <v>91</v>
      </c>
      <c r="W69">
        <v>2.8239999999999998</v>
      </c>
      <c r="X69">
        <v>144</v>
      </c>
      <c r="Y69">
        <v>275</v>
      </c>
      <c r="Z69">
        <v>87</v>
      </c>
      <c r="AA69">
        <v>97</v>
      </c>
      <c r="AB69">
        <v>3.67</v>
      </c>
      <c r="AC69">
        <v>6</v>
      </c>
      <c r="AD69">
        <v>35</v>
      </c>
      <c r="AE69" t="s">
        <v>55</v>
      </c>
      <c r="AF69" t="s">
        <v>64</v>
      </c>
      <c r="AG69" t="s">
        <v>82</v>
      </c>
      <c r="AH69" t="s">
        <v>146</v>
      </c>
      <c r="AI69">
        <v>96</v>
      </c>
      <c r="AJ69" t="s">
        <v>56</v>
      </c>
      <c r="AK69" t="s">
        <v>55</v>
      </c>
      <c r="AL69" t="s">
        <v>56</v>
      </c>
      <c r="AM69" t="s">
        <v>105</v>
      </c>
      <c r="AN69" t="s">
        <v>55</v>
      </c>
      <c r="AO69">
        <v>5</v>
      </c>
      <c r="AP69" t="s">
        <v>66</v>
      </c>
      <c r="AQ69" t="s">
        <v>85</v>
      </c>
      <c r="AR69" t="s">
        <v>55</v>
      </c>
      <c r="AS69" t="s">
        <v>55</v>
      </c>
      <c r="AT69" t="s">
        <v>55</v>
      </c>
      <c r="AU69">
        <v>95</v>
      </c>
      <c r="AV69">
        <v>1.49</v>
      </c>
      <c r="AW69" t="s">
        <v>68</v>
      </c>
      <c r="AX69" t="s">
        <v>69</v>
      </c>
    </row>
    <row r="70" spans="1:50">
      <c r="A70" t="s">
        <v>212</v>
      </c>
      <c r="B70">
        <v>43682</v>
      </c>
      <c r="C70">
        <v>62</v>
      </c>
      <c r="D70" t="s">
        <v>53</v>
      </c>
      <c r="E70">
        <v>26</v>
      </c>
      <c r="F70" t="s">
        <v>79</v>
      </c>
      <c r="G70" t="s">
        <v>55</v>
      </c>
      <c r="H70" t="s">
        <v>55</v>
      </c>
      <c r="I70" t="s">
        <v>55</v>
      </c>
      <c r="J70" t="s">
        <v>55</v>
      </c>
      <c r="K70" t="s">
        <v>55</v>
      </c>
      <c r="L70" t="s">
        <v>71</v>
      </c>
      <c r="M70" t="s">
        <v>206</v>
      </c>
      <c r="N70">
        <v>914</v>
      </c>
      <c r="O70">
        <v>116</v>
      </c>
      <c r="P70">
        <v>76</v>
      </c>
      <c r="Q70">
        <v>106</v>
      </c>
      <c r="R70">
        <v>95</v>
      </c>
      <c r="S70">
        <v>1</v>
      </c>
      <c r="T70">
        <v>1</v>
      </c>
      <c r="U70" t="s">
        <v>95</v>
      </c>
      <c r="V70" t="s">
        <v>137</v>
      </c>
      <c r="W70">
        <v>1.45</v>
      </c>
      <c r="X70">
        <v>505</v>
      </c>
      <c r="Y70">
        <v>1713</v>
      </c>
      <c r="Z70">
        <v>85</v>
      </c>
      <c r="AA70">
        <v>93</v>
      </c>
      <c r="AB70">
        <v>2</v>
      </c>
      <c r="AC70">
        <v>5.6</v>
      </c>
      <c r="AD70">
        <v>43</v>
      </c>
      <c r="AE70" t="s">
        <v>55</v>
      </c>
      <c r="AF70" t="s">
        <v>64</v>
      </c>
      <c r="AG70" t="s">
        <v>62</v>
      </c>
      <c r="AH70" t="s">
        <v>63</v>
      </c>
      <c r="AI70" t="s">
        <v>64</v>
      </c>
      <c r="AJ70" t="s">
        <v>55</v>
      </c>
      <c r="AK70" t="s">
        <v>55</v>
      </c>
      <c r="AL70" t="s">
        <v>55</v>
      </c>
      <c r="AM70" t="s">
        <v>75</v>
      </c>
      <c r="AN70" t="s">
        <v>55</v>
      </c>
      <c r="AO70">
        <v>4</v>
      </c>
      <c r="AP70" t="s">
        <v>66</v>
      </c>
      <c r="AQ70" t="s">
        <v>126</v>
      </c>
      <c r="AR70" t="s">
        <v>56</v>
      </c>
      <c r="AS70" t="s">
        <v>55</v>
      </c>
      <c r="AT70" t="s">
        <v>56</v>
      </c>
      <c r="AU70">
        <v>100</v>
      </c>
      <c r="AV70">
        <v>1.73</v>
      </c>
      <c r="AW70" t="s">
        <v>68</v>
      </c>
      <c r="AX70" t="s">
        <v>69</v>
      </c>
    </row>
    <row r="71" spans="1:50">
      <c r="A71" t="s">
        <v>213</v>
      </c>
      <c r="B71">
        <v>43684</v>
      </c>
      <c r="C71">
        <v>56</v>
      </c>
      <c r="D71" t="s">
        <v>53</v>
      </c>
      <c r="E71">
        <v>25.1</v>
      </c>
      <c r="F71" t="s">
        <v>79</v>
      </c>
      <c r="G71" t="s">
        <v>55</v>
      </c>
      <c r="H71" t="s">
        <v>56</v>
      </c>
      <c r="I71" t="s">
        <v>55</v>
      </c>
      <c r="J71" t="s">
        <v>55</v>
      </c>
      <c r="K71" t="s">
        <v>56</v>
      </c>
      <c r="L71" t="s">
        <v>80</v>
      </c>
      <c r="M71" t="s">
        <v>163</v>
      </c>
      <c r="N71">
        <v>2111</v>
      </c>
      <c r="O71">
        <v>164</v>
      </c>
      <c r="P71">
        <v>76</v>
      </c>
      <c r="Q71">
        <v>103</v>
      </c>
      <c r="R71">
        <v>94</v>
      </c>
      <c r="S71">
        <v>1</v>
      </c>
      <c r="T71">
        <v>1</v>
      </c>
      <c r="U71" t="s">
        <v>66</v>
      </c>
      <c r="V71" t="s">
        <v>96</v>
      </c>
      <c r="W71">
        <v>2.3E-2</v>
      </c>
      <c r="X71">
        <v>355</v>
      </c>
      <c r="Y71">
        <v>2106</v>
      </c>
      <c r="Z71">
        <v>45</v>
      </c>
      <c r="AA71">
        <v>105</v>
      </c>
      <c r="AB71">
        <v>3.71</v>
      </c>
      <c r="AC71">
        <v>5.8</v>
      </c>
      <c r="AD71">
        <v>56</v>
      </c>
      <c r="AE71" t="s">
        <v>55</v>
      </c>
      <c r="AF71" t="s">
        <v>64</v>
      </c>
      <c r="AG71" t="s">
        <v>97</v>
      </c>
      <c r="AH71" t="s">
        <v>146</v>
      </c>
      <c r="AI71">
        <v>69</v>
      </c>
      <c r="AJ71" t="s">
        <v>55</v>
      </c>
      <c r="AK71" t="s">
        <v>55</v>
      </c>
      <c r="AL71" t="s">
        <v>55</v>
      </c>
      <c r="AM71" t="s">
        <v>84</v>
      </c>
      <c r="AN71" t="s">
        <v>55</v>
      </c>
      <c r="AO71">
        <v>4</v>
      </c>
      <c r="AP71" t="s">
        <v>66</v>
      </c>
      <c r="AQ71" t="s">
        <v>85</v>
      </c>
      <c r="AR71" t="s">
        <v>55</v>
      </c>
      <c r="AS71" t="s">
        <v>55</v>
      </c>
      <c r="AT71" t="s">
        <v>55</v>
      </c>
      <c r="AU71">
        <v>81</v>
      </c>
      <c r="AV71">
        <v>1.1200000000000001</v>
      </c>
      <c r="AW71" t="s">
        <v>68</v>
      </c>
      <c r="AX71" t="s">
        <v>115</v>
      </c>
    </row>
    <row r="72" spans="1:50">
      <c r="A72" t="s">
        <v>214</v>
      </c>
      <c r="B72">
        <v>43686</v>
      </c>
      <c r="C72">
        <v>63</v>
      </c>
      <c r="D72" t="s">
        <v>89</v>
      </c>
      <c r="E72">
        <v>23.1</v>
      </c>
      <c r="F72" t="s">
        <v>90</v>
      </c>
      <c r="G72" t="s">
        <v>56</v>
      </c>
      <c r="H72" t="s">
        <v>56</v>
      </c>
      <c r="I72" t="s">
        <v>56</v>
      </c>
      <c r="J72" t="s">
        <v>55</v>
      </c>
      <c r="K72" t="s">
        <v>55</v>
      </c>
      <c r="L72" t="s">
        <v>131</v>
      </c>
      <c r="M72" t="s">
        <v>169</v>
      </c>
      <c r="N72">
        <v>235</v>
      </c>
      <c r="O72">
        <v>97</v>
      </c>
      <c r="P72">
        <v>51</v>
      </c>
      <c r="Q72">
        <v>82</v>
      </c>
      <c r="R72">
        <v>93</v>
      </c>
      <c r="S72">
        <v>1</v>
      </c>
      <c r="T72">
        <v>2</v>
      </c>
      <c r="U72" t="s">
        <v>59</v>
      </c>
      <c r="V72" t="s">
        <v>96</v>
      </c>
      <c r="W72">
        <v>10.371</v>
      </c>
      <c r="X72">
        <v>194</v>
      </c>
      <c r="Y72">
        <v>1266</v>
      </c>
      <c r="Z72">
        <v>128</v>
      </c>
      <c r="AA72">
        <v>42</v>
      </c>
      <c r="AB72">
        <v>2.08</v>
      </c>
      <c r="AC72">
        <v>7.6</v>
      </c>
      <c r="AD72">
        <v>49</v>
      </c>
      <c r="AE72" t="s">
        <v>55</v>
      </c>
      <c r="AF72" t="s">
        <v>64</v>
      </c>
      <c r="AG72" t="s">
        <v>97</v>
      </c>
      <c r="AH72" t="s">
        <v>133</v>
      </c>
      <c r="AI72">
        <v>80</v>
      </c>
      <c r="AJ72" t="s">
        <v>56</v>
      </c>
      <c r="AK72" t="s">
        <v>55</v>
      </c>
      <c r="AL72" t="s">
        <v>56</v>
      </c>
      <c r="AM72" t="s">
        <v>134</v>
      </c>
      <c r="AN72" t="s">
        <v>55</v>
      </c>
      <c r="AO72">
        <v>11</v>
      </c>
      <c r="AP72" t="s">
        <v>66</v>
      </c>
      <c r="AQ72" t="s">
        <v>85</v>
      </c>
      <c r="AR72" t="s">
        <v>56</v>
      </c>
      <c r="AS72" t="s">
        <v>55</v>
      </c>
      <c r="AT72" t="s">
        <v>56</v>
      </c>
      <c r="AU72">
        <v>81</v>
      </c>
      <c r="AV72">
        <v>2.67</v>
      </c>
      <c r="AW72" t="s">
        <v>86</v>
      </c>
      <c r="AX72" t="s">
        <v>115</v>
      </c>
    </row>
    <row r="73" spans="1:50">
      <c r="A73" t="s">
        <v>215</v>
      </c>
      <c r="B73">
        <v>43691</v>
      </c>
      <c r="C73">
        <v>68</v>
      </c>
      <c r="D73" t="s">
        <v>53</v>
      </c>
      <c r="E73">
        <v>24.9</v>
      </c>
      <c r="F73" t="s">
        <v>90</v>
      </c>
      <c r="G73" t="s">
        <v>55</v>
      </c>
      <c r="H73" t="s">
        <v>56</v>
      </c>
      <c r="I73" t="s">
        <v>55</v>
      </c>
      <c r="J73" t="s">
        <v>55</v>
      </c>
      <c r="K73" t="s">
        <v>55</v>
      </c>
      <c r="L73" t="s">
        <v>80</v>
      </c>
      <c r="M73" t="s">
        <v>94</v>
      </c>
      <c r="N73">
        <v>1174</v>
      </c>
      <c r="O73">
        <v>154</v>
      </c>
      <c r="P73">
        <v>93</v>
      </c>
      <c r="Q73">
        <v>93</v>
      </c>
      <c r="R73">
        <v>97</v>
      </c>
      <c r="S73">
        <v>1</v>
      </c>
      <c r="T73">
        <v>3</v>
      </c>
      <c r="U73" t="s">
        <v>73</v>
      </c>
      <c r="V73" t="s">
        <v>60</v>
      </c>
      <c r="W73">
        <v>6.0000000000000001E-3</v>
      </c>
      <c r="X73">
        <v>471</v>
      </c>
      <c r="Y73">
        <v>1149</v>
      </c>
      <c r="Z73">
        <v>75</v>
      </c>
      <c r="AA73">
        <v>91</v>
      </c>
      <c r="AB73">
        <v>2.27</v>
      </c>
      <c r="AC73">
        <v>4.8</v>
      </c>
      <c r="AD73">
        <v>66</v>
      </c>
      <c r="AE73" t="s">
        <v>55</v>
      </c>
      <c r="AF73" t="s">
        <v>64</v>
      </c>
      <c r="AG73" t="s">
        <v>82</v>
      </c>
      <c r="AH73" t="s">
        <v>98</v>
      </c>
      <c r="AI73">
        <v>57</v>
      </c>
      <c r="AJ73" t="s">
        <v>55</v>
      </c>
      <c r="AK73" t="s">
        <v>55</v>
      </c>
      <c r="AL73" t="s">
        <v>55</v>
      </c>
      <c r="AM73" t="s">
        <v>84</v>
      </c>
      <c r="AN73" t="s">
        <v>55</v>
      </c>
      <c r="AO73">
        <v>3</v>
      </c>
      <c r="AP73" t="s">
        <v>184</v>
      </c>
      <c r="AQ73" t="s">
        <v>85</v>
      </c>
      <c r="AR73" t="s">
        <v>55</v>
      </c>
      <c r="AS73" t="s">
        <v>55</v>
      </c>
      <c r="AT73" t="s">
        <v>55</v>
      </c>
      <c r="AU73">
        <v>90</v>
      </c>
      <c r="AV73">
        <v>1.36</v>
      </c>
      <c r="AW73" t="s">
        <v>68</v>
      </c>
      <c r="AX73" t="s">
        <v>69</v>
      </c>
    </row>
    <row r="74" spans="1:50">
      <c r="A74" t="s">
        <v>216</v>
      </c>
      <c r="B74">
        <v>43693</v>
      </c>
      <c r="C74">
        <v>68</v>
      </c>
      <c r="D74" t="s">
        <v>53</v>
      </c>
      <c r="E74">
        <v>31.7</v>
      </c>
      <c r="F74" t="s">
        <v>90</v>
      </c>
      <c r="G74" t="s">
        <v>55</v>
      </c>
      <c r="H74" t="s">
        <v>55</v>
      </c>
      <c r="I74" t="s">
        <v>55</v>
      </c>
      <c r="J74" t="s">
        <v>55</v>
      </c>
      <c r="K74" t="s">
        <v>55</v>
      </c>
      <c r="L74" t="s">
        <v>123</v>
      </c>
      <c r="M74" t="s">
        <v>217</v>
      </c>
      <c r="N74">
        <v>2788</v>
      </c>
      <c r="O74">
        <v>71</v>
      </c>
      <c r="P74">
        <v>81</v>
      </c>
      <c r="Q74">
        <v>99</v>
      </c>
      <c r="R74">
        <v>95</v>
      </c>
      <c r="S74">
        <v>1</v>
      </c>
      <c r="T74">
        <v>2</v>
      </c>
      <c r="U74" t="s">
        <v>95</v>
      </c>
      <c r="V74" t="s">
        <v>74</v>
      </c>
      <c r="W74">
        <v>6.0000000000000001E-3</v>
      </c>
      <c r="X74">
        <v>185</v>
      </c>
      <c r="Y74">
        <v>590</v>
      </c>
      <c r="Z74">
        <v>57</v>
      </c>
      <c r="AA74">
        <v>85</v>
      </c>
      <c r="AB74">
        <v>2.42</v>
      </c>
      <c r="AC74">
        <v>5.4</v>
      </c>
      <c r="AD74">
        <v>42</v>
      </c>
      <c r="AE74" t="s">
        <v>55</v>
      </c>
      <c r="AF74" t="s">
        <v>64</v>
      </c>
      <c r="AG74" t="s">
        <v>62</v>
      </c>
      <c r="AH74" t="s">
        <v>63</v>
      </c>
      <c r="AI74" t="s">
        <v>64</v>
      </c>
      <c r="AJ74" t="s">
        <v>55</v>
      </c>
      <c r="AK74" t="s">
        <v>55</v>
      </c>
      <c r="AL74" t="s">
        <v>56</v>
      </c>
      <c r="AM74" t="s">
        <v>125</v>
      </c>
      <c r="AN74" t="s">
        <v>56</v>
      </c>
      <c r="AO74">
        <v>6</v>
      </c>
      <c r="AP74" t="s">
        <v>66</v>
      </c>
      <c r="AQ74" t="s">
        <v>190</v>
      </c>
      <c r="AR74" t="s">
        <v>56</v>
      </c>
      <c r="AS74" t="s">
        <v>55</v>
      </c>
      <c r="AT74" t="s">
        <v>56</v>
      </c>
      <c r="AU74">
        <v>93</v>
      </c>
      <c r="AV74">
        <v>3.58</v>
      </c>
      <c r="AW74" t="s">
        <v>86</v>
      </c>
      <c r="AX74" t="s">
        <v>69</v>
      </c>
    </row>
    <row r="75" spans="1:50">
      <c r="A75" t="s">
        <v>218</v>
      </c>
      <c r="B75">
        <v>43693</v>
      </c>
      <c r="C75">
        <v>69</v>
      </c>
      <c r="D75" t="s">
        <v>89</v>
      </c>
      <c r="E75">
        <v>26.2</v>
      </c>
      <c r="F75" t="s">
        <v>79</v>
      </c>
      <c r="G75" t="s">
        <v>55</v>
      </c>
      <c r="H75" t="s">
        <v>55</v>
      </c>
      <c r="I75" t="s">
        <v>56</v>
      </c>
      <c r="J75" t="s">
        <v>55</v>
      </c>
      <c r="K75" t="s">
        <v>55</v>
      </c>
      <c r="L75" t="s">
        <v>131</v>
      </c>
      <c r="M75" t="s">
        <v>169</v>
      </c>
      <c r="N75">
        <v>176</v>
      </c>
      <c r="O75">
        <v>84</v>
      </c>
      <c r="P75">
        <v>90</v>
      </c>
      <c r="Q75">
        <v>119</v>
      </c>
      <c r="R75">
        <v>94</v>
      </c>
      <c r="S75">
        <v>1</v>
      </c>
      <c r="T75">
        <v>2</v>
      </c>
      <c r="U75" t="s">
        <v>95</v>
      </c>
      <c r="V75" t="s">
        <v>96</v>
      </c>
      <c r="W75">
        <v>8.0020000000000007</v>
      </c>
      <c r="X75">
        <v>118</v>
      </c>
      <c r="Y75">
        <v>5772</v>
      </c>
      <c r="Z75">
        <v>116</v>
      </c>
      <c r="AA75">
        <v>35</v>
      </c>
      <c r="AB75">
        <v>2.8</v>
      </c>
      <c r="AC75">
        <v>5.0999999999999996</v>
      </c>
      <c r="AD75">
        <v>57</v>
      </c>
      <c r="AE75" t="s">
        <v>55</v>
      </c>
      <c r="AF75" t="s">
        <v>64</v>
      </c>
      <c r="AG75" t="s">
        <v>97</v>
      </c>
      <c r="AH75" t="s">
        <v>120</v>
      </c>
      <c r="AI75">
        <v>99</v>
      </c>
      <c r="AJ75" t="s">
        <v>56</v>
      </c>
      <c r="AK75" t="s">
        <v>55</v>
      </c>
      <c r="AL75" t="s">
        <v>56</v>
      </c>
      <c r="AM75" t="s">
        <v>134</v>
      </c>
      <c r="AN75" t="s">
        <v>56</v>
      </c>
      <c r="AO75">
        <v>5</v>
      </c>
      <c r="AP75" t="s">
        <v>171</v>
      </c>
      <c r="AQ75" t="s">
        <v>85</v>
      </c>
      <c r="AR75" t="s">
        <v>55</v>
      </c>
      <c r="AS75" t="s">
        <v>55</v>
      </c>
      <c r="AT75" t="s">
        <v>55</v>
      </c>
      <c r="AU75">
        <v>100</v>
      </c>
      <c r="AV75">
        <v>3.74</v>
      </c>
      <c r="AW75" t="s">
        <v>135</v>
      </c>
      <c r="AX75" t="s">
        <v>147</v>
      </c>
    </row>
    <row r="76" spans="1:50">
      <c r="A76" t="s">
        <v>219</v>
      </c>
      <c r="B76">
        <v>43698</v>
      </c>
      <c r="C76">
        <v>45</v>
      </c>
      <c r="D76" t="s">
        <v>53</v>
      </c>
      <c r="E76">
        <v>32</v>
      </c>
      <c r="F76" t="s">
        <v>79</v>
      </c>
      <c r="G76" t="s">
        <v>55</v>
      </c>
      <c r="H76" t="s">
        <v>55</v>
      </c>
      <c r="I76" t="s">
        <v>55</v>
      </c>
      <c r="J76" t="s">
        <v>55</v>
      </c>
      <c r="K76" t="s">
        <v>56</v>
      </c>
      <c r="L76" t="s">
        <v>101</v>
      </c>
      <c r="M76" t="s">
        <v>153</v>
      </c>
      <c r="N76">
        <v>1232</v>
      </c>
      <c r="O76">
        <v>104</v>
      </c>
      <c r="P76">
        <v>64</v>
      </c>
      <c r="Q76">
        <v>81</v>
      </c>
      <c r="R76">
        <v>97</v>
      </c>
      <c r="S76">
        <v>4</v>
      </c>
      <c r="T76">
        <v>1</v>
      </c>
      <c r="U76" t="s">
        <v>73</v>
      </c>
      <c r="V76" t="s">
        <v>91</v>
      </c>
      <c r="W76">
        <v>1.659</v>
      </c>
      <c r="X76">
        <v>937</v>
      </c>
      <c r="Y76">
        <v>276</v>
      </c>
      <c r="Z76">
        <v>110</v>
      </c>
      <c r="AA76">
        <v>103</v>
      </c>
      <c r="AB76">
        <v>2.41</v>
      </c>
      <c r="AC76">
        <v>5.4</v>
      </c>
      <c r="AD76">
        <v>66</v>
      </c>
      <c r="AE76" t="s">
        <v>55</v>
      </c>
      <c r="AF76" t="s">
        <v>64</v>
      </c>
      <c r="AG76" t="s">
        <v>82</v>
      </c>
      <c r="AH76" t="s">
        <v>98</v>
      </c>
      <c r="AI76">
        <v>64</v>
      </c>
      <c r="AJ76" t="s">
        <v>55</v>
      </c>
      <c r="AK76" t="s">
        <v>55</v>
      </c>
      <c r="AL76" t="s">
        <v>56</v>
      </c>
      <c r="AM76" t="s">
        <v>105</v>
      </c>
      <c r="AN76" t="s">
        <v>56</v>
      </c>
      <c r="AO76">
        <v>6</v>
      </c>
      <c r="AP76" t="s">
        <v>171</v>
      </c>
      <c r="AQ76" t="s">
        <v>85</v>
      </c>
      <c r="AR76" t="s">
        <v>55</v>
      </c>
      <c r="AS76" t="s">
        <v>55</v>
      </c>
      <c r="AT76" t="s">
        <v>55</v>
      </c>
      <c r="AU76">
        <v>92</v>
      </c>
      <c r="AV76">
        <v>3.51</v>
      </c>
      <c r="AW76" t="s">
        <v>86</v>
      </c>
      <c r="AX76" t="s">
        <v>69</v>
      </c>
    </row>
    <row r="77" spans="1:50">
      <c r="A77" t="s">
        <v>220</v>
      </c>
      <c r="B77">
        <v>43699</v>
      </c>
      <c r="C77">
        <v>49</v>
      </c>
      <c r="D77" t="s">
        <v>53</v>
      </c>
      <c r="E77">
        <v>27.6</v>
      </c>
      <c r="F77" t="s">
        <v>54</v>
      </c>
      <c r="G77" t="s">
        <v>56</v>
      </c>
      <c r="H77" t="s">
        <v>56</v>
      </c>
      <c r="I77" t="s">
        <v>55</v>
      </c>
      <c r="J77" t="s">
        <v>55</v>
      </c>
      <c r="K77" t="s">
        <v>55</v>
      </c>
      <c r="L77" t="s">
        <v>101</v>
      </c>
      <c r="M77" t="s">
        <v>102</v>
      </c>
      <c r="N77">
        <v>575</v>
      </c>
      <c r="O77">
        <v>80</v>
      </c>
      <c r="P77">
        <v>93</v>
      </c>
      <c r="Q77">
        <v>119</v>
      </c>
      <c r="R77">
        <v>96</v>
      </c>
      <c r="S77">
        <v>1</v>
      </c>
      <c r="T77">
        <v>2</v>
      </c>
      <c r="U77" t="s">
        <v>95</v>
      </c>
      <c r="V77" t="s">
        <v>91</v>
      </c>
      <c r="W77">
        <v>3.8370000000000002</v>
      </c>
      <c r="X77">
        <v>290</v>
      </c>
      <c r="Y77">
        <v>791</v>
      </c>
      <c r="Z77">
        <v>118</v>
      </c>
      <c r="AA77">
        <v>91</v>
      </c>
      <c r="AB77">
        <v>3.48</v>
      </c>
      <c r="AC77">
        <v>5.8</v>
      </c>
      <c r="AD77">
        <v>53</v>
      </c>
      <c r="AE77" t="s">
        <v>55</v>
      </c>
      <c r="AF77" t="s">
        <v>64</v>
      </c>
      <c r="AG77" t="s">
        <v>97</v>
      </c>
      <c r="AH77" t="s">
        <v>133</v>
      </c>
      <c r="AI77">
        <v>66</v>
      </c>
      <c r="AJ77" t="s">
        <v>55</v>
      </c>
      <c r="AK77" t="s">
        <v>55</v>
      </c>
      <c r="AL77" t="s">
        <v>56</v>
      </c>
      <c r="AM77" t="s">
        <v>105</v>
      </c>
      <c r="AN77" t="s">
        <v>56</v>
      </c>
      <c r="AO77">
        <v>8</v>
      </c>
      <c r="AP77" t="s">
        <v>99</v>
      </c>
      <c r="AQ77" t="s">
        <v>85</v>
      </c>
      <c r="AR77" t="s">
        <v>56</v>
      </c>
      <c r="AS77" t="s">
        <v>56</v>
      </c>
      <c r="AT77" t="s">
        <v>56</v>
      </c>
      <c r="AU77">
        <v>92</v>
      </c>
      <c r="AV77">
        <v>3.23</v>
      </c>
      <c r="AW77" t="s">
        <v>86</v>
      </c>
      <c r="AX77" t="s">
        <v>69</v>
      </c>
    </row>
    <row r="78" spans="1:50">
      <c r="A78" t="s">
        <v>221</v>
      </c>
      <c r="B78">
        <v>43706</v>
      </c>
      <c r="C78">
        <v>63</v>
      </c>
      <c r="D78" t="s">
        <v>89</v>
      </c>
      <c r="E78">
        <v>33.700000000000003</v>
      </c>
      <c r="F78" t="s">
        <v>79</v>
      </c>
      <c r="G78" t="s">
        <v>56</v>
      </c>
      <c r="H78" t="s">
        <v>56</v>
      </c>
      <c r="I78" t="s">
        <v>55</v>
      </c>
      <c r="J78" t="s">
        <v>55</v>
      </c>
      <c r="K78" t="s">
        <v>55</v>
      </c>
      <c r="L78" t="s">
        <v>80</v>
      </c>
      <c r="M78" t="s">
        <v>81</v>
      </c>
      <c r="N78">
        <v>3467</v>
      </c>
      <c r="O78">
        <v>153</v>
      </c>
      <c r="P78">
        <v>73</v>
      </c>
      <c r="Q78">
        <v>64</v>
      </c>
      <c r="R78">
        <v>96</v>
      </c>
      <c r="S78">
        <v>1</v>
      </c>
      <c r="T78">
        <v>3</v>
      </c>
      <c r="U78" t="s">
        <v>73</v>
      </c>
      <c r="V78" t="s">
        <v>137</v>
      </c>
      <c r="W78">
        <v>5.8999999999999997E-2</v>
      </c>
      <c r="X78">
        <v>282</v>
      </c>
      <c r="Y78">
        <v>935</v>
      </c>
      <c r="Z78">
        <v>60</v>
      </c>
      <c r="AA78">
        <v>86</v>
      </c>
      <c r="AB78">
        <v>5.07</v>
      </c>
      <c r="AC78">
        <v>7.9</v>
      </c>
      <c r="AD78">
        <v>54</v>
      </c>
      <c r="AE78" t="s">
        <v>55</v>
      </c>
      <c r="AF78" t="s">
        <v>64</v>
      </c>
      <c r="AG78" t="s">
        <v>97</v>
      </c>
      <c r="AH78" t="s">
        <v>98</v>
      </c>
      <c r="AI78">
        <v>60</v>
      </c>
      <c r="AJ78" t="s">
        <v>55</v>
      </c>
      <c r="AK78" t="s">
        <v>55</v>
      </c>
      <c r="AL78" t="s">
        <v>55</v>
      </c>
      <c r="AM78" t="s">
        <v>84</v>
      </c>
      <c r="AN78" t="s">
        <v>55</v>
      </c>
      <c r="AO78">
        <v>3</v>
      </c>
      <c r="AP78" t="s">
        <v>66</v>
      </c>
      <c r="AQ78" t="s">
        <v>85</v>
      </c>
      <c r="AR78" t="s">
        <v>55</v>
      </c>
      <c r="AS78" t="s">
        <v>55</v>
      </c>
      <c r="AT78" t="s">
        <v>55</v>
      </c>
      <c r="AU78">
        <v>95</v>
      </c>
      <c r="AV78">
        <v>1.26</v>
      </c>
      <c r="AW78" t="s">
        <v>68</v>
      </c>
      <c r="AX78" t="s">
        <v>69</v>
      </c>
    </row>
    <row r="79" spans="1:50">
      <c r="A79" t="s">
        <v>222</v>
      </c>
      <c r="B79">
        <v>43708</v>
      </c>
      <c r="C79">
        <v>56</v>
      </c>
      <c r="D79" t="s">
        <v>53</v>
      </c>
      <c r="E79">
        <v>23.6</v>
      </c>
      <c r="F79" t="s">
        <v>54</v>
      </c>
      <c r="G79" t="s">
        <v>55</v>
      </c>
      <c r="H79" t="s">
        <v>55</v>
      </c>
      <c r="I79" t="s">
        <v>55</v>
      </c>
      <c r="J79" t="s">
        <v>56</v>
      </c>
      <c r="K79" t="s">
        <v>55</v>
      </c>
      <c r="L79" t="s">
        <v>101</v>
      </c>
      <c r="M79" t="s">
        <v>153</v>
      </c>
      <c r="N79">
        <v>568</v>
      </c>
      <c r="O79">
        <v>102</v>
      </c>
      <c r="P79">
        <v>64</v>
      </c>
      <c r="Q79">
        <v>124</v>
      </c>
      <c r="R79">
        <v>94</v>
      </c>
      <c r="S79">
        <v>2</v>
      </c>
      <c r="T79">
        <v>1</v>
      </c>
      <c r="U79" t="s">
        <v>66</v>
      </c>
      <c r="V79" t="s">
        <v>74</v>
      </c>
      <c r="W79">
        <v>0.63400000000000001</v>
      </c>
      <c r="X79">
        <v>184</v>
      </c>
      <c r="Y79">
        <v>616</v>
      </c>
      <c r="Z79">
        <v>127</v>
      </c>
      <c r="AA79">
        <v>83</v>
      </c>
      <c r="AB79">
        <v>3.06</v>
      </c>
      <c r="AC79">
        <v>5.7</v>
      </c>
      <c r="AD79">
        <v>36</v>
      </c>
      <c r="AE79" t="s">
        <v>55</v>
      </c>
      <c r="AF79" t="s">
        <v>64</v>
      </c>
      <c r="AG79" t="s">
        <v>103</v>
      </c>
      <c r="AH79" t="s">
        <v>104</v>
      </c>
      <c r="AI79">
        <v>89</v>
      </c>
      <c r="AJ79" t="s">
        <v>55</v>
      </c>
      <c r="AK79" t="s">
        <v>55</v>
      </c>
      <c r="AL79" t="s">
        <v>56</v>
      </c>
      <c r="AM79" t="s">
        <v>105</v>
      </c>
      <c r="AN79" t="s">
        <v>55</v>
      </c>
      <c r="AO79">
        <v>7</v>
      </c>
      <c r="AP79" t="s">
        <v>66</v>
      </c>
      <c r="AQ79" t="s">
        <v>85</v>
      </c>
      <c r="AR79" t="s">
        <v>55</v>
      </c>
      <c r="AS79" t="s">
        <v>55</v>
      </c>
      <c r="AT79" t="s">
        <v>55</v>
      </c>
      <c r="AU79">
        <v>88</v>
      </c>
      <c r="AV79">
        <v>2.15</v>
      </c>
      <c r="AW79" t="s">
        <v>68</v>
      </c>
      <c r="AX79" t="s">
        <v>69</v>
      </c>
    </row>
    <row r="80" spans="1:50">
      <c r="A80" t="s">
        <v>223</v>
      </c>
      <c r="B80">
        <v>43713</v>
      </c>
      <c r="C80">
        <v>67</v>
      </c>
      <c r="D80" t="s">
        <v>53</v>
      </c>
      <c r="E80">
        <v>33.299999999999997</v>
      </c>
      <c r="F80" t="s">
        <v>90</v>
      </c>
      <c r="G80" t="s">
        <v>55</v>
      </c>
      <c r="H80" t="s">
        <v>55</v>
      </c>
      <c r="I80" t="s">
        <v>55</v>
      </c>
      <c r="J80" t="s">
        <v>55</v>
      </c>
      <c r="K80" t="s">
        <v>55</v>
      </c>
      <c r="L80" t="s">
        <v>123</v>
      </c>
      <c r="M80" t="s">
        <v>124</v>
      </c>
      <c r="N80">
        <v>4073</v>
      </c>
      <c r="O80">
        <v>134</v>
      </c>
      <c r="P80">
        <v>77</v>
      </c>
      <c r="Q80">
        <v>76</v>
      </c>
      <c r="R80">
        <v>97</v>
      </c>
      <c r="S80">
        <v>2</v>
      </c>
      <c r="T80">
        <v>1</v>
      </c>
      <c r="U80" t="s">
        <v>59</v>
      </c>
      <c r="V80" t="s">
        <v>74</v>
      </c>
      <c r="W80">
        <v>5.0999999999999997E-2</v>
      </c>
      <c r="X80">
        <v>137</v>
      </c>
      <c r="Y80">
        <v>386</v>
      </c>
      <c r="Z80">
        <v>122</v>
      </c>
      <c r="AA80">
        <v>84</v>
      </c>
      <c r="AB80">
        <v>3.04</v>
      </c>
      <c r="AC80">
        <v>5.6</v>
      </c>
      <c r="AD80">
        <v>65</v>
      </c>
      <c r="AE80" t="s">
        <v>56</v>
      </c>
      <c r="AF80" t="s">
        <v>64</v>
      </c>
      <c r="AG80" t="s">
        <v>62</v>
      </c>
      <c r="AH80" t="s">
        <v>63</v>
      </c>
      <c r="AI80" t="s">
        <v>64</v>
      </c>
      <c r="AJ80" t="s">
        <v>55</v>
      </c>
      <c r="AK80" t="s">
        <v>55</v>
      </c>
      <c r="AL80" t="s">
        <v>56</v>
      </c>
      <c r="AM80" t="s">
        <v>125</v>
      </c>
      <c r="AN80" t="s">
        <v>55</v>
      </c>
      <c r="AO80">
        <v>3</v>
      </c>
      <c r="AP80" t="s">
        <v>66</v>
      </c>
      <c r="AQ80" t="s">
        <v>190</v>
      </c>
      <c r="AR80" t="s">
        <v>55</v>
      </c>
      <c r="AS80" t="s">
        <v>55</v>
      </c>
      <c r="AT80" t="s">
        <v>55</v>
      </c>
      <c r="AU80">
        <v>87</v>
      </c>
      <c r="AV80">
        <v>1.74</v>
      </c>
      <c r="AW80" t="s">
        <v>68</v>
      </c>
      <c r="AX80" t="s">
        <v>69</v>
      </c>
    </row>
    <row r="81" spans="1:50">
      <c r="A81" t="s">
        <v>224</v>
      </c>
      <c r="B81">
        <v>43717</v>
      </c>
      <c r="C81">
        <v>56</v>
      </c>
      <c r="D81" t="s">
        <v>89</v>
      </c>
      <c r="E81">
        <v>28.5</v>
      </c>
      <c r="F81" t="s">
        <v>90</v>
      </c>
      <c r="G81" t="s">
        <v>55</v>
      </c>
      <c r="H81" t="s">
        <v>56</v>
      </c>
      <c r="I81" t="s">
        <v>55</v>
      </c>
      <c r="J81" t="s">
        <v>55</v>
      </c>
      <c r="K81" t="s">
        <v>55</v>
      </c>
      <c r="L81" t="s">
        <v>159</v>
      </c>
      <c r="M81" t="s">
        <v>175</v>
      </c>
      <c r="N81">
        <v>2567</v>
      </c>
      <c r="O81">
        <v>114</v>
      </c>
      <c r="P81">
        <v>88</v>
      </c>
      <c r="Q81">
        <v>115</v>
      </c>
      <c r="R81">
        <v>94</v>
      </c>
      <c r="S81">
        <v>2</v>
      </c>
      <c r="T81">
        <v>2</v>
      </c>
      <c r="U81" t="s">
        <v>59</v>
      </c>
      <c r="V81" t="s">
        <v>74</v>
      </c>
      <c r="W81">
        <v>1.2E-2</v>
      </c>
      <c r="X81">
        <v>350</v>
      </c>
      <c r="Y81">
        <v>120</v>
      </c>
      <c r="Z81">
        <v>93</v>
      </c>
      <c r="AA81">
        <v>92</v>
      </c>
      <c r="AB81">
        <v>2.67</v>
      </c>
      <c r="AC81">
        <v>5.4</v>
      </c>
      <c r="AD81">
        <v>54</v>
      </c>
      <c r="AE81" t="s">
        <v>55</v>
      </c>
      <c r="AF81" t="s">
        <v>64</v>
      </c>
      <c r="AG81" t="s">
        <v>97</v>
      </c>
      <c r="AH81" t="s">
        <v>83</v>
      </c>
      <c r="AI81">
        <v>89</v>
      </c>
      <c r="AJ81" t="s">
        <v>56</v>
      </c>
      <c r="AK81" t="s">
        <v>55</v>
      </c>
      <c r="AL81" t="s">
        <v>55</v>
      </c>
      <c r="AM81" t="s">
        <v>161</v>
      </c>
      <c r="AN81" t="s">
        <v>55</v>
      </c>
      <c r="AO81">
        <v>8</v>
      </c>
      <c r="AP81" t="s">
        <v>66</v>
      </c>
      <c r="AQ81" t="s">
        <v>178</v>
      </c>
      <c r="AR81" t="s">
        <v>56</v>
      </c>
      <c r="AS81" t="s">
        <v>55</v>
      </c>
      <c r="AT81" t="s">
        <v>56</v>
      </c>
      <c r="AU81">
        <v>95</v>
      </c>
      <c r="AV81">
        <v>1.73</v>
      </c>
      <c r="AW81" t="s">
        <v>68</v>
      </c>
      <c r="AX81" t="s">
        <v>69</v>
      </c>
    </row>
    <row r="82" spans="1:50">
      <c r="A82" t="s">
        <v>225</v>
      </c>
      <c r="B82">
        <v>43721</v>
      </c>
      <c r="C82">
        <v>50</v>
      </c>
      <c r="D82" t="s">
        <v>89</v>
      </c>
      <c r="E82">
        <v>26.4</v>
      </c>
      <c r="F82" t="s">
        <v>90</v>
      </c>
      <c r="G82" t="s">
        <v>55</v>
      </c>
      <c r="H82" t="s">
        <v>55</v>
      </c>
      <c r="I82" t="s">
        <v>55</v>
      </c>
      <c r="J82" t="s">
        <v>56</v>
      </c>
      <c r="K82" t="s">
        <v>55</v>
      </c>
      <c r="L82" t="s">
        <v>123</v>
      </c>
      <c r="M82" t="s">
        <v>217</v>
      </c>
      <c r="N82">
        <v>2221</v>
      </c>
      <c r="O82">
        <v>159</v>
      </c>
      <c r="P82">
        <v>75</v>
      </c>
      <c r="Q82">
        <v>82</v>
      </c>
      <c r="R82">
        <v>94</v>
      </c>
      <c r="S82">
        <v>2</v>
      </c>
      <c r="T82">
        <v>3</v>
      </c>
      <c r="U82" t="s">
        <v>73</v>
      </c>
      <c r="V82" t="s">
        <v>74</v>
      </c>
      <c r="W82">
        <v>6.7000000000000004E-2</v>
      </c>
      <c r="X82">
        <v>171</v>
      </c>
      <c r="Y82">
        <v>1427</v>
      </c>
      <c r="Z82">
        <v>95</v>
      </c>
      <c r="AA82">
        <v>97</v>
      </c>
      <c r="AB82">
        <v>2</v>
      </c>
      <c r="AC82">
        <v>5.4</v>
      </c>
      <c r="AD82">
        <v>52</v>
      </c>
      <c r="AE82" t="s">
        <v>55</v>
      </c>
      <c r="AF82" t="s">
        <v>64</v>
      </c>
      <c r="AG82" t="s">
        <v>62</v>
      </c>
      <c r="AH82" t="s">
        <v>63</v>
      </c>
      <c r="AI82" t="s">
        <v>64</v>
      </c>
      <c r="AJ82" t="s">
        <v>55</v>
      </c>
      <c r="AK82" t="s">
        <v>55</v>
      </c>
      <c r="AL82" t="s">
        <v>56</v>
      </c>
      <c r="AM82" t="s">
        <v>125</v>
      </c>
      <c r="AN82" t="s">
        <v>55</v>
      </c>
      <c r="AO82">
        <v>6</v>
      </c>
      <c r="AP82" t="s">
        <v>114</v>
      </c>
      <c r="AQ82" t="s">
        <v>85</v>
      </c>
      <c r="AR82" t="s">
        <v>55</v>
      </c>
      <c r="AS82" t="s">
        <v>55</v>
      </c>
      <c r="AT82" t="s">
        <v>55</v>
      </c>
      <c r="AU82">
        <v>93</v>
      </c>
      <c r="AV82">
        <v>1.4</v>
      </c>
      <c r="AW82" t="s">
        <v>68</v>
      </c>
      <c r="AX82" t="s">
        <v>69</v>
      </c>
    </row>
    <row r="83" spans="1:50">
      <c r="A83" t="s">
        <v>226</v>
      </c>
      <c r="B83">
        <v>43722</v>
      </c>
      <c r="C83">
        <v>57</v>
      </c>
      <c r="D83" t="s">
        <v>53</v>
      </c>
      <c r="E83">
        <v>30.7</v>
      </c>
      <c r="F83" t="s">
        <v>54</v>
      </c>
      <c r="G83" t="s">
        <v>55</v>
      </c>
      <c r="H83" t="s">
        <v>55</v>
      </c>
      <c r="I83" t="s">
        <v>55</v>
      </c>
      <c r="J83" t="s">
        <v>55</v>
      </c>
      <c r="K83" t="s">
        <v>55</v>
      </c>
      <c r="L83" t="s">
        <v>123</v>
      </c>
      <c r="M83" t="s">
        <v>124</v>
      </c>
      <c r="N83">
        <v>2284</v>
      </c>
      <c r="O83">
        <v>129</v>
      </c>
      <c r="P83">
        <v>66</v>
      </c>
      <c r="Q83">
        <v>87</v>
      </c>
      <c r="R83">
        <v>96</v>
      </c>
      <c r="S83">
        <v>1</v>
      </c>
      <c r="T83">
        <v>3</v>
      </c>
      <c r="U83" t="s">
        <v>73</v>
      </c>
      <c r="V83" t="s">
        <v>74</v>
      </c>
      <c r="W83">
        <v>0.14299999999999999</v>
      </c>
      <c r="X83">
        <v>561</v>
      </c>
      <c r="Y83">
        <v>621</v>
      </c>
      <c r="Z83">
        <v>73</v>
      </c>
      <c r="AA83">
        <v>100</v>
      </c>
      <c r="AB83">
        <v>2.68</v>
      </c>
      <c r="AC83">
        <v>5.4</v>
      </c>
      <c r="AD83">
        <v>58</v>
      </c>
      <c r="AE83" t="s">
        <v>55</v>
      </c>
      <c r="AF83" t="s">
        <v>64</v>
      </c>
      <c r="AG83" t="s">
        <v>62</v>
      </c>
      <c r="AH83" t="s">
        <v>63</v>
      </c>
      <c r="AI83" t="s">
        <v>64</v>
      </c>
      <c r="AJ83" t="s">
        <v>55</v>
      </c>
      <c r="AK83" t="s">
        <v>55</v>
      </c>
      <c r="AL83" t="s">
        <v>56</v>
      </c>
      <c r="AM83" t="s">
        <v>125</v>
      </c>
      <c r="AN83" t="s">
        <v>55</v>
      </c>
      <c r="AO83">
        <v>5</v>
      </c>
      <c r="AP83" t="s">
        <v>66</v>
      </c>
      <c r="AQ83" t="s">
        <v>85</v>
      </c>
      <c r="AR83" t="s">
        <v>55</v>
      </c>
      <c r="AS83" t="s">
        <v>55</v>
      </c>
      <c r="AT83" t="s">
        <v>55</v>
      </c>
      <c r="AU83">
        <v>100</v>
      </c>
      <c r="AV83">
        <v>1.1399999999999999</v>
      </c>
      <c r="AW83" t="s">
        <v>68</v>
      </c>
      <c r="AX83" t="s">
        <v>69</v>
      </c>
    </row>
    <row r="84" spans="1:50">
      <c r="A84" t="s">
        <v>227</v>
      </c>
      <c r="B84">
        <v>43723</v>
      </c>
      <c r="C84">
        <v>46</v>
      </c>
      <c r="D84" t="s">
        <v>53</v>
      </c>
      <c r="E84">
        <v>20.100000000000001</v>
      </c>
      <c r="F84" t="s">
        <v>79</v>
      </c>
      <c r="G84" t="s">
        <v>55</v>
      </c>
      <c r="H84" t="s">
        <v>55</v>
      </c>
      <c r="I84" t="s">
        <v>55</v>
      </c>
      <c r="J84" t="s">
        <v>56</v>
      </c>
      <c r="K84" t="s">
        <v>55</v>
      </c>
      <c r="L84" t="s">
        <v>159</v>
      </c>
      <c r="M84" t="s">
        <v>177</v>
      </c>
      <c r="N84">
        <v>2167</v>
      </c>
      <c r="O84">
        <v>152</v>
      </c>
      <c r="P84">
        <v>74</v>
      </c>
      <c r="Q84">
        <v>67</v>
      </c>
      <c r="R84">
        <v>92</v>
      </c>
      <c r="S84">
        <v>4</v>
      </c>
      <c r="T84">
        <v>3</v>
      </c>
      <c r="U84" t="s">
        <v>59</v>
      </c>
      <c r="V84" t="s">
        <v>60</v>
      </c>
      <c r="W84">
        <v>4.0000000000000001E-3</v>
      </c>
      <c r="X84">
        <v>252</v>
      </c>
      <c r="Y84">
        <v>1484</v>
      </c>
      <c r="Z84">
        <v>54</v>
      </c>
      <c r="AA84">
        <v>113</v>
      </c>
      <c r="AB84">
        <v>2.75</v>
      </c>
      <c r="AC84">
        <v>5.5</v>
      </c>
      <c r="AD84">
        <v>60</v>
      </c>
      <c r="AE84" t="s">
        <v>55</v>
      </c>
      <c r="AF84" t="s">
        <v>64</v>
      </c>
      <c r="AG84" t="s">
        <v>82</v>
      </c>
      <c r="AH84" t="s">
        <v>98</v>
      </c>
      <c r="AI84">
        <v>84</v>
      </c>
      <c r="AJ84" t="s">
        <v>56</v>
      </c>
      <c r="AK84" t="s">
        <v>55</v>
      </c>
      <c r="AL84" t="s">
        <v>55</v>
      </c>
      <c r="AM84" t="s">
        <v>161</v>
      </c>
      <c r="AN84" t="s">
        <v>56</v>
      </c>
      <c r="AO84">
        <v>6</v>
      </c>
      <c r="AP84" t="s">
        <v>66</v>
      </c>
      <c r="AQ84" t="s">
        <v>76</v>
      </c>
      <c r="AR84" t="s">
        <v>55</v>
      </c>
      <c r="AS84" t="s">
        <v>55</v>
      </c>
      <c r="AT84" t="s">
        <v>55</v>
      </c>
      <c r="AU84">
        <v>97</v>
      </c>
      <c r="AV84">
        <v>2.62</v>
      </c>
      <c r="AW84" t="s">
        <v>86</v>
      </c>
      <c r="AX84" t="s">
        <v>69</v>
      </c>
    </row>
    <row r="85" spans="1:50">
      <c r="A85" t="s">
        <v>228</v>
      </c>
      <c r="B85">
        <v>43726</v>
      </c>
      <c r="C85">
        <v>68</v>
      </c>
      <c r="D85" t="s">
        <v>53</v>
      </c>
      <c r="E85">
        <v>31.3</v>
      </c>
      <c r="F85" t="s">
        <v>54</v>
      </c>
      <c r="G85" t="s">
        <v>56</v>
      </c>
      <c r="H85" t="s">
        <v>56</v>
      </c>
      <c r="I85" t="s">
        <v>55</v>
      </c>
      <c r="J85" t="s">
        <v>56</v>
      </c>
      <c r="K85" t="s">
        <v>56</v>
      </c>
      <c r="L85" t="s">
        <v>57</v>
      </c>
      <c r="M85" t="s">
        <v>156</v>
      </c>
      <c r="N85">
        <v>464</v>
      </c>
      <c r="O85">
        <v>123</v>
      </c>
      <c r="P85">
        <v>79</v>
      </c>
      <c r="Q85">
        <v>100</v>
      </c>
      <c r="R85">
        <v>92</v>
      </c>
      <c r="S85">
        <v>1</v>
      </c>
      <c r="T85">
        <v>3</v>
      </c>
      <c r="U85" t="s">
        <v>66</v>
      </c>
      <c r="V85" t="s">
        <v>96</v>
      </c>
      <c r="W85">
        <v>8.2000000000000003E-2</v>
      </c>
      <c r="X85">
        <v>133</v>
      </c>
      <c r="Y85">
        <v>3419</v>
      </c>
      <c r="Z85">
        <v>45</v>
      </c>
      <c r="AA85">
        <v>85</v>
      </c>
      <c r="AB85">
        <v>2.2200000000000002</v>
      </c>
      <c r="AC85">
        <v>7.9</v>
      </c>
      <c r="AD85">
        <v>71</v>
      </c>
      <c r="AE85" t="s">
        <v>56</v>
      </c>
      <c r="AF85" t="s">
        <v>229</v>
      </c>
      <c r="AG85" t="s">
        <v>62</v>
      </c>
      <c r="AH85" t="s">
        <v>63</v>
      </c>
      <c r="AI85" t="s">
        <v>64</v>
      </c>
      <c r="AJ85" t="s">
        <v>55</v>
      </c>
      <c r="AK85" t="s">
        <v>55</v>
      </c>
      <c r="AL85" t="s">
        <v>56</v>
      </c>
      <c r="AM85" t="s">
        <v>65</v>
      </c>
      <c r="AN85" t="s">
        <v>56</v>
      </c>
      <c r="AO85">
        <v>13</v>
      </c>
      <c r="AP85" t="s">
        <v>141</v>
      </c>
      <c r="AQ85" t="s">
        <v>67</v>
      </c>
      <c r="AR85" t="s">
        <v>56</v>
      </c>
      <c r="AS85" t="s">
        <v>55</v>
      </c>
      <c r="AT85" t="s">
        <v>56</v>
      </c>
      <c r="AU85">
        <v>97</v>
      </c>
      <c r="AV85">
        <v>1.86</v>
      </c>
      <c r="AW85" t="s">
        <v>68</v>
      </c>
      <c r="AX85" t="s">
        <v>69</v>
      </c>
    </row>
    <row r="86" spans="1:50">
      <c r="A86" t="s">
        <v>230</v>
      </c>
      <c r="B86">
        <v>43729</v>
      </c>
      <c r="C86">
        <v>59</v>
      </c>
      <c r="D86" t="s">
        <v>89</v>
      </c>
      <c r="E86">
        <v>32.5</v>
      </c>
      <c r="F86" t="s">
        <v>54</v>
      </c>
      <c r="G86" t="s">
        <v>55</v>
      </c>
      <c r="H86" t="s">
        <v>55</v>
      </c>
      <c r="I86" t="s">
        <v>55</v>
      </c>
      <c r="J86" t="s">
        <v>55</v>
      </c>
      <c r="K86" t="s">
        <v>55</v>
      </c>
      <c r="L86" t="s">
        <v>101</v>
      </c>
      <c r="M86" t="s">
        <v>102</v>
      </c>
      <c r="N86">
        <v>1380</v>
      </c>
      <c r="O86">
        <v>144</v>
      </c>
      <c r="P86">
        <v>90</v>
      </c>
      <c r="Q86">
        <v>57</v>
      </c>
      <c r="R86">
        <v>93</v>
      </c>
      <c r="S86">
        <v>1</v>
      </c>
      <c r="T86">
        <v>3</v>
      </c>
      <c r="U86" t="s">
        <v>95</v>
      </c>
      <c r="V86" t="s">
        <v>137</v>
      </c>
      <c r="W86">
        <v>3.5430000000000001</v>
      </c>
      <c r="X86">
        <v>313</v>
      </c>
      <c r="Y86">
        <v>959</v>
      </c>
      <c r="Z86">
        <v>82</v>
      </c>
      <c r="AA86">
        <v>81</v>
      </c>
      <c r="AB86">
        <v>1.94</v>
      </c>
      <c r="AC86">
        <v>5</v>
      </c>
      <c r="AD86">
        <v>39</v>
      </c>
      <c r="AE86" t="s">
        <v>55</v>
      </c>
      <c r="AF86" t="s">
        <v>64</v>
      </c>
      <c r="AG86" t="s">
        <v>97</v>
      </c>
      <c r="AH86" t="s">
        <v>146</v>
      </c>
      <c r="AI86">
        <v>97</v>
      </c>
      <c r="AJ86" t="s">
        <v>56</v>
      </c>
      <c r="AK86" t="s">
        <v>55</v>
      </c>
      <c r="AL86" t="s">
        <v>56</v>
      </c>
      <c r="AM86" t="s">
        <v>105</v>
      </c>
      <c r="AN86" t="s">
        <v>55</v>
      </c>
      <c r="AO86">
        <v>3</v>
      </c>
      <c r="AP86" t="s">
        <v>66</v>
      </c>
      <c r="AQ86" t="s">
        <v>85</v>
      </c>
      <c r="AR86" t="s">
        <v>55</v>
      </c>
      <c r="AS86" t="s">
        <v>55</v>
      </c>
      <c r="AT86" t="s">
        <v>55</v>
      </c>
      <c r="AU86">
        <v>90</v>
      </c>
      <c r="AV86">
        <v>1.53</v>
      </c>
      <c r="AW86" t="s">
        <v>68</v>
      </c>
      <c r="AX86" t="s">
        <v>69</v>
      </c>
    </row>
    <row r="87" spans="1:50">
      <c r="A87" t="s">
        <v>231</v>
      </c>
      <c r="B87">
        <v>43730</v>
      </c>
      <c r="C87">
        <v>69</v>
      </c>
      <c r="D87" t="s">
        <v>89</v>
      </c>
      <c r="E87">
        <v>20.2</v>
      </c>
      <c r="F87" t="s">
        <v>90</v>
      </c>
      <c r="G87" t="s">
        <v>55</v>
      </c>
      <c r="H87" t="s">
        <v>56</v>
      </c>
      <c r="I87" t="s">
        <v>55</v>
      </c>
      <c r="J87" t="s">
        <v>55</v>
      </c>
      <c r="K87" t="s">
        <v>55</v>
      </c>
      <c r="L87" t="s">
        <v>131</v>
      </c>
      <c r="M87" t="s">
        <v>169</v>
      </c>
      <c r="N87">
        <v>277</v>
      </c>
      <c r="O87">
        <v>87</v>
      </c>
      <c r="P87">
        <v>62</v>
      </c>
      <c r="Q87">
        <v>82</v>
      </c>
      <c r="R87">
        <v>94</v>
      </c>
      <c r="S87">
        <v>1</v>
      </c>
      <c r="T87">
        <v>1</v>
      </c>
      <c r="U87" t="s">
        <v>95</v>
      </c>
      <c r="V87" t="s">
        <v>74</v>
      </c>
      <c r="W87">
        <v>12.878</v>
      </c>
      <c r="X87">
        <v>108</v>
      </c>
      <c r="Y87">
        <v>1572</v>
      </c>
      <c r="Z87">
        <v>108</v>
      </c>
      <c r="AA87">
        <v>68</v>
      </c>
      <c r="AB87">
        <v>3.23</v>
      </c>
      <c r="AC87">
        <v>6</v>
      </c>
      <c r="AD87">
        <v>40</v>
      </c>
      <c r="AE87" t="s">
        <v>55</v>
      </c>
      <c r="AF87" t="s">
        <v>64</v>
      </c>
      <c r="AG87" t="s">
        <v>62</v>
      </c>
      <c r="AH87" t="s">
        <v>98</v>
      </c>
      <c r="AI87">
        <v>97</v>
      </c>
      <c r="AJ87" t="s">
        <v>55</v>
      </c>
      <c r="AK87" t="s">
        <v>55</v>
      </c>
      <c r="AL87" t="s">
        <v>56</v>
      </c>
      <c r="AM87" t="s">
        <v>134</v>
      </c>
      <c r="AN87" t="s">
        <v>56</v>
      </c>
      <c r="AO87">
        <v>9</v>
      </c>
      <c r="AP87" t="s">
        <v>171</v>
      </c>
      <c r="AQ87" t="s">
        <v>85</v>
      </c>
      <c r="AR87" t="s">
        <v>56</v>
      </c>
      <c r="AS87" t="s">
        <v>56</v>
      </c>
      <c r="AT87" t="s">
        <v>56</v>
      </c>
      <c r="AU87">
        <v>100</v>
      </c>
      <c r="AV87">
        <v>3.39</v>
      </c>
      <c r="AW87" t="s">
        <v>86</v>
      </c>
      <c r="AX87" t="s">
        <v>147</v>
      </c>
    </row>
    <row r="88" spans="1:50">
      <c r="A88" t="s">
        <v>232</v>
      </c>
      <c r="B88">
        <v>43733</v>
      </c>
      <c r="C88">
        <v>54</v>
      </c>
      <c r="D88" t="s">
        <v>89</v>
      </c>
      <c r="E88">
        <v>27.1</v>
      </c>
      <c r="F88" t="s">
        <v>54</v>
      </c>
      <c r="G88" t="s">
        <v>55</v>
      </c>
      <c r="H88" t="s">
        <v>56</v>
      </c>
      <c r="I88" t="s">
        <v>55</v>
      </c>
      <c r="J88" t="s">
        <v>55</v>
      </c>
      <c r="K88" t="s">
        <v>56</v>
      </c>
      <c r="L88" t="s">
        <v>101</v>
      </c>
      <c r="M88" t="s">
        <v>153</v>
      </c>
      <c r="N88">
        <v>1199</v>
      </c>
      <c r="O88">
        <v>135</v>
      </c>
      <c r="P88">
        <v>68</v>
      </c>
      <c r="Q88">
        <v>56</v>
      </c>
      <c r="R88">
        <v>91</v>
      </c>
      <c r="S88">
        <v>2</v>
      </c>
      <c r="T88">
        <v>2</v>
      </c>
      <c r="U88" t="s">
        <v>66</v>
      </c>
      <c r="V88" t="s">
        <v>137</v>
      </c>
      <c r="W88">
        <v>6.758</v>
      </c>
      <c r="X88">
        <v>29</v>
      </c>
      <c r="Y88">
        <v>490</v>
      </c>
      <c r="Z88">
        <v>45</v>
      </c>
      <c r="AA88">
        <v>100</v>
      </c>
      <c r="AB88">
        <v>1.51</v>
      </c>
      <c r="AC88">
        <v>6.2</v>
      </c>
      <c r="AD88">
        <v>52</v>
      </c>
      <c r="AE88" t="s">
        <v>55</v>
      </c>
      <c r="AF88" t="s">
        <v>64</v>
      </c>
      <c r="AG88" t="s">
        <v>82</v>
      </c>
      <c r="AH88" t="s">
        <v>120</v>
      </c>
      <c r="AI88">
        <v>63</v>
      </c>
      <c r="AJ88" t="s">
        <v>55</v>
      </c>
      <c r="AK88" t="s">
        <v>55</v>
      </c>
      <c r="AL88" t="s">
        <v>56</v>
      </c>
      <c r="AM88" t="s">
        <v>105</v>
      </c>
      <c r="AN88" t="s">
        <v>55</v>
      </c>
      <c r="AO88">
        <v>6</v>
      </c>
      <c r="AP88" t="s">
        <v>66</v>
      </c>
      <c r="AQ88" t="s">
        <v>85</v>
      </c>
      <c r="AR88" t="s">
        <v>55</v>
      </c>
      <c r="AS88" t="s">
        <v>55</v>
      </c>
      <c r="AT88" t="s">
        <v>55</v>
      </c>
      <c r="AU88">
        <v>95</v>
      </c>
      <c r="AV88">
        <v>2.13</v>
      </c>
      <c r="AW88" t="s">
        <v>68</v>
      </c>
      <c r="AX88" t="s">
        <v>69</v>
      </c>
    </row>
    <row r="89" spans="1:50">
      <c r="A89" t="s">
        <v>233</v>
      </c>
      <c r="B89">
        <v>43733</v>
      </c>
      <c r="C89">
        <v>50</v>
      </c>
      <c r="D89" t="s">
        <v>53</v>
      </c>
      <c r="E89">
        <v>27.3</v>
      </c>
      <c r="F89" t="s">
        <v>54</v>
      </c>
      <c r="G89" t="s">
        <v>55</v>
      </c>
      <c r="H89" t="s">
        <v>55</v>
      </c>
      <c r="I89" t="s">
        <v>55</v>
      </c>
      <c r="J89" t="s">
        <v>55</v>
      </c>
      <c r="K89" t="s">
        <v>55</v>
      </c>
      <c r="L89" t="s">
        <v>71</v>
      </c>
      <c r="M89" t="s">
        <v>72</v>
      </c>
      <c r="N89">
        <v>66</v>
      </c>
      <c r="O89">
        <v>87</v>
      </c>
      <c r="P89">
        <v>99</v>
      </c>
      <c r="Q89">
        <v>90</v>
      </c>
      <c r="R89">
        <v>94</v>
      </c>
      <c r="S89">
        <v>1</v>
      </c>
      <c r="T89">
        <v>2</v>
      </c>
      <c r="U89" t="s">
        <v>95</v>
      </c>
      <c r="V89" t="s">
        <v>91</v>
      </c>
      <c r="W89">
        <v>16.684999999999999</v>
      </c>
      <c r="X89">
        <v>166</v>
      </c>
      <c r="Y89">
        <v>260</v>
      </c>
      <c r="Z89">
        <v>94</v>
      </c>
      <c r="AA89">
        <v>98</v>
      </c>
      <c r="AB89">
        <v>3.22</v>
      </c>
      <c r="AC89">
        <v>5.4</v>
      </c>
      <c r="AD89">
        <v>43</v>
      </c>
      <c r="AE89" t="s">
        <v>55</v>
      </c>
      <c r="AF89" t="s">
        <v>64</v>
      </c>
      <c r="AG89" t="s">
        <v>62</v>
      </c>
      <c r="AH89" t="s">
        <v>63</v>
      </c>
      <c r="AI89" t="s">
        <v>64</v>
      </c>
      <c r="AJ89" t="s">
        <v>55</v>
      </c>
      <c r="AK89" t="s">
        <v>55</v>
      </c>
      <c r="AL89" t="s">
        <v>55</v>
      </c>
      <c r="AM89" t="s">
        <v>75</v>
      </c>
      <c r="AN89" t="s">
        <v>56</v>
      </c>
      <c r="AO89">
        <v>5</v>
      </c>
      <c r="AP89" t="s">
        <v>66</v>
      </c>
      <c r="AQ89" t="s">
        <v>76</v>
      </c>
      <c r="AR89" t="s">
        <v>55</v>
      </c>
      <c r="AS89" t="s">
        <v>55</v>
      </c>
      <c r="AT89" t="s">
        <v>55</v>
      </c>
      <c r="AU89">
        <v>86</v>
      </c>
      <c r="AV89">
        <v>3.01</v>
      </c>
      <c r="AW89" t="s">
        <v>86</v>
      </c>
      <c r="AX89" t="s">
        <v>69</v>
      </c>
    </row>
    <row r="90" spans="1:50">
      <c r="A90" t="s">
        <v>234</v>
      </c>
      <c r="B90">
        <v>43736</v>
      </c>
      <c r="C90">
        <v>62</v>
      </c>
      <c r="D90" t="s">
        <v>53</v>
      </c>
      <c r="E90">
        <v>20.8</v>
      </c>
      <c r="F90" t="s">
        <v>79</v>
      </c>
      <c r="G90" t="s">
        <v>56</v>
      </c>
      <c r="H90" t="s">
        <v>56</v>
      </c>
      <c r="I90" t="s">
        <v>55</v>
      </c>
      <c r="J90" t="s">
        <v>55</v>
      </c>
      <c r="K90" t="s">
        <v>55</v>
      </c>
      <c r="L90" t="s">
        <v>131</v>
      </c>
      <c r="M90" t="s">
        <v>132</v>
      </c>
      <c r="N90">
        <v>589</v>
      </c>
      <c r="O90">
        <v>113</v>
      </c>
      <c r="P90">
        <v>73</v>
      </c>
      <c r="Q90">
        <v>65</v>
      </c>
      <c r="R90">
        <v>97</v>
      </c>
      <c r="S90">
        <v>1</v>
      </c>
      <c r="T90">
        <v>3</v>
      </c>
      <c r="U90" t="s">
        <v>59</v>
      </c>
      <c r="V90" t="s">
        <v>91</v>
      </c>
      <c r="W90">
        <v>3.121</v>
      </c>
      <c r="X90">
        <v>61</v>
      </c>
      <c r="Y90">
        <v>229</v>
      </c>
      <c r="Z90">
        <v>63</v>
      </c>
      <c r="AA90">
        <v>115</v>
      </c>
      <c r="AB90">
        <v>3.63</v>
      </c>
      <c r="AC90">
        <v>7.6</v>
      </c>
      <c r="AD90">
        <v>47</v>
      </c>
      <c r="AE90" t="s">
        <v>55</v>
      </c>
      <c r="AF90" t="s">
        <v>64</v>
      </c>
      <c r="AG90" t="s">
        <v>103</v>
      </c>
      <c r="AH90" t="s">
        <v>146</v>
      </c>
      <c r="AI90">
        <v>100</v>
      </c>
      <c r="AJ90" t="s">
        <v>55</v>
      </c>
      <c r="AK90" t="s">
        <v>55</v>
      </c>
      <c r="AL90" t="s">
        <v>56</v>
      </c>
      <c r="AM90" t="s">
        <v>134</v>
      </c>
      <c r="AN90" t="s">
        <v>55</v>
      </c>
      <c r="AO90">
        <v>2</v>
      </c>
      <c r="AP90" t="s">
        <v>66</v>
      </c>
      <c r="AQ90" t="s">
        <v>85</v>
      </c>
      <c r="AR90" t="s">
        <v>55</v>
      </c>
      <c r="AS90" t="s">
        <v>55</v>
      </c>
      <c r="AT90" t="s">
        <v>55</v>
      </c>
      <c r="AU90">
        <v>100</v>
      </c>
      <c r="AV90">
        <v>1.83</v>
      </c>
      <c r="AW90" t="s">
        <v>68</v>
      </c>
      <c r="AX90" t="s">
        <v>69</v>
      </c>
    </row>
    <row r="91" spans="1:50">
      <c r="A91" t="s">
        <v>235</v>
      </c>
      <c r="B91">
        <v>43740</v>
      </c>
      <c r="C91">
        <v>32</v>
      </c>
      <c r="D91" t="s">
        <v>53</v>
      </c>
      <c r="E91">
        <v>28.5</v>
      </c>
      <c r="F91" t="s">
        <v>90</v>
      </c>
      <c r="G91" t="s">
        <v>55</v>
      </c>
      <c r="H91" t="s">
        <v>56</v>
      </c>
      <c r="I91" t="s">
        <v>55</v>
      </c>
      <c r="J91" t="s">
        <v>55</v>
      </c>
      <c r="K91" t="s">
        <v>55</v>
      </c>
      <c r="L91" t="s">
        <v>80</v>
      </c>
      <c r="M91" t="s">
        <v>94</v>
      </c>
      <c r="N91">
        <v>4281</v>
      </c>
      <c r="O91">
        <v>111</v>
      </c>
      <c r="P91">
        <v>56</v>
      </c>
      <c r="Q91">
        <v>57</v>
      </c>
      <c r="R91">
        <v>99</v>
      </c>
      <c r="S91">
        <v>2</v>
      </c>
      <c r="T91">
        <v>3</v>
      </c>
      <c r="U91" t="s">
        <v>66</v>
      </c>
      <c r="V91" t="s">
        <v>137</v>
      </c>
      <c r="W91">
        <v>7.0000000000000001E-3</v>
      </c>
      <c r="X91">
        <v>964</v>
      </c>
      <c r="Y91">
        <v>628</v>
      </c>
      <c r="Z91">
        <v>71</v>
      </c>
      <c r="AA91">
        <v>118</v>
      </c>
      <c r="AB91">
        <v>4.12</v>
      </c>
      <c r="AC91">
        <v>5.9</v>
      </c>
      <c r="AD91">
        <v>52</v>
      </c>
      <c r="AE91" t="s">
        <v>55</v>
      </c>
      <c r="AF91" t="s">
        <v>64</v>
      </c>
      <c r="AG91" t="s">
        <v>97</v>
      </c>
      <c r="AH91" t="s">
        <v>133</v>
      </c>
      <c r="AI91">
        <v>82</v>
      </c>
      <c r="AJ91" t="s">
        <v>56</v>
      </c>
      <c r="AK91" t="s">
        <v>55</v>
      </c>
      <c r="AL91" t="s">
        <v>55</v>
      </c>
      <c r="AM91" t="s">
        <v>84</v>
      </c>
      <c r="AN91" t="s">
        <v>55</v>
      </c>
      <c r="AO91">
        <v>3</v>
      </c>
      <c r="AP91" t="s">
        <v>66</v>
      </c>
      <c r="AQ91" t="s">
        <v>85</v>
      </c>
      <c r="AR91" t="s">
        <v>55</v>
      </c>
      <c r="AS91" t="s">
        <v>55</v>
      </c>
      <c r="AT91" t="s">
        <v>55</v>
      </c>
      <c r="AU91">
        <v>91</v>
      </c>
      <c r="AV91">
        <v>1.35</v>
      </c>
      <c r="AW91" t="s">
        <v>68</v>
      </c>
      <c r="AX91" t="s">
        <v>69</v>
      </c>
    </row>
    <row r="92" spans="1:50">
      <c r="A92" t="s">
        <v>236</v>
      </c>
      <c r="B92">
        <v>43745</v>
      </c>
      <c r="C92">
        <v>57</v>
      </c>
      <c r="D92" t="s">
        <v>53</v>
      </c>
      <c r="E92">
        <v>25.2</v>
      </c>
      <c r="F92" t="s">
        <v>54</v>
      </c>
      <c r="G92" t="s">
        <v>55</v>
      </c>
      <c r="H92" t="s">
        <v>55</v>
      </c>
      <c r="I92" t="s">
        <v>55</v>
      </c>
      <c r="J92" t="s">
        <v>55</v>
      </c>
      <c r="K92" t="s">
        <v>55</v>
      </c>
      <c r="L92" t="s">
        <v>123</v>
      </c>
      <c r="M92" t="s">
        <v>124</v>
      </c>
      <c r="N92">
        <v>3701</v>
      </c>
      <c r="O92">
        <v>124</v>
      </c>
      <c r="P92">
        <v>89</v>
      </c>
      <c r="Q92">
        <v>112</v>
      </c>
      <c r="R92">
        <v>97</v>
      </c>
      <c r="S92">
        <v>1</v>
      </c>
      <c r="T92">
        <v>4</v>
      </c>
      <c r="U92" t="s">
        <v>66</v>
      </c>
      <c r="V92" t="s">
        <v>74</v>
      </c>
      <c r="W92">
        <v>6.7000000000000004E-2</v>
      </c>
      <c r="X92">
        <v>137</v>
      </c>
      <c r="Y92">
        <v>161</v>
      </c>
      <c r="Z92">
        <v>96</v>
      </c>
      <c r="AA92">
        <v>92</v>
      </c>
      <c r="AB92">
        <v>2.77</v>
      </c>
      <c r="AC92">
        <v>5.6</v>
      </c>
      <c r="AD92">
        <v>63</v>
      </c>
      <c r="AE92" t="s">
        <v>55</v>
      </c>
      <c r="AF92" t="s">
        <v>64</v>
      </c>
      <c r="AG92" t="s">
        <v>62</v>
      </c>
      <c r="AH92" t="s">
        <v>63</v>
      </c>
      <c r="AI92" t="s">
        <v>64</v>
      </c>
      <c r="AJ92" t="s">
        <v>55</v>
      </c>
      <c r="AK92" t="s">
        <v>55</v>
      </c>
      <c r="AL92" t="s">
        <v>56</v>
      </c>
      <c r="AM92" t="s">
        <v>125</v>
      </c>
      <c r="AN92" t="s">
        <v>55</v>
      </c>
      <c r="AO92">
        <v>2</v>
      </c>
      <c r="AP92" t="s">
        <v>114</v>
      </c>
      <c r="AQ92" t="s">
        <v>76</v>
      </c>
      <c r="AR92" t="s">
        <v>55</v>
      </c>
      <c r="AS92" t="s">
        <v>55</v>
      </c>
      <c r="AT92" t="s">
        <v>55</v>
      </c>
      <c r="AU92">
        <v>88</v>
      </c>
      <c r="AV92">
        <v>1.1399999999999999</v>
      </c>
      <c r="AW92" t="s">
        <v>68</v>
      </c>
      <c r="AX92" t="s">
        <v>69</v>
      </c>
    </row>
    <row r="93" spans="1:50">
      <c r="A93" t="s">
        <v>237</v>
      </c>
      <c r="B93">
        <v>43748</v>
      </c>
      <c r="C93">
        <v>29</v>
      </c>
      <c r="D93" t="s">
        <v>89</v>
      </c>
      <c r="E93">
        <v>30.4</v>
      </c>
      <c r="F93" t="s">
        <v>79</v>
      </c>
      <c r="G93" t="s">
        <v>56</v>
      </c>
      <c r="H93" t="s">
        <v>55</v>
      </c>
      <c r="I93" t="s">
        <v>55</v>
      </c>
      <c r="J93" t="s">
        <v>55</v>
      </c>
      <c r="K93" t="s">
        <v>55</v>
      </c>
      <c r="L93" t="s">
        <v>123</v>
      </c>
      <c r="M93" t="s">
        <v>124</v>
      </c>
      <c r="N93">
        <v>1951</v>
      </c>
      <c r="O93">
        <v>146</v>
      </c>
      <c r="P93">
        <v>93</v>
      </c>
      <c r="Q93">
        <v>47</v>
      </c>
      <c r="R93">
        <v>97</v>
      </c>
      <c r="S93">
        <v>3</v>
      </c>
      <c r="T93">
        <v>1</v>
      </c>
      <c r="U93" t="s">
        <v>66</v>
      </c>
      <c r="V93" t="s">
        <v>74</v>
      </c>
      <c r="W93">
        <v>3.5999999999999997E-2</v>
      </c>
      <c r="X93">
        <v>212</v>
      </c>
      <c r="Y93">
        <v>403</v>
      </c>
      <c r="Z93">
        <v>45</v>
      </c>
      <c r="AA93">
        <v>123</v>
      </c>
      <c r="AB93">
        <v>2.2599999999999998</v>
      </c>
      <c r="AC93">
        <v>8</v>
      </c>
      <c r="AD93">
        <v>63</v>
      </c>
      <c r="AE93" t="s">
        <v>55</v>
      </c>
      <c r="AF93" t="s">
        <v>64</v>
      </c>
      <c r="AG93" t="s">
        <v>62</v>
      </c>
      <c r="AH93" t="s">
        <v>63</v>
      </c>
      <c r="AI93" t="s">
        <v>64</v>
      </c>
      <c r="AJ93" t="s">
        <v>55</v>
      </c>
      <c r="AK93" t="s">
        <v>55</v>
      </c>
      <c r="AL93" t="s">
        <v>56</v>
      </c>
      <c r="AM93" t="s">
        <v>125</v>
      </c>
      <c r="AN93" t="s">
        <v>56</v>
      </c>
      <c r="AO93">
        <v>5</v>
      </c>
      <c r="AP93" t="s">
        <v>66</v>
      </c>
      <c r="AQ93" t="s">
        <v>85</v>
      </c>
      <c r="AR93" t="s">
        <v>55</v>
      </c>
      <c r="AS93" t="s">
        <v>55</v>
      </c>
      <c r="AT93" t="s">
        <v>55</v>
      </c>
      <c r="AU93">
        <v>100</v>
      </c>
      <c r="AV93">
        <v>1.88</v>
      </c>
      <c r="AW93" t="s">
        <v>68</v>
      </c>
      <c r="AX93" t="s">
        <v>69</v>
      </c>
    </row>
    <row r="94" spans="1:50">
      <c r="A94" t="s">
        <v>238</v>
      </c>
      <c r="B94">
        <v>43754</v>
      </c>
      <c r="C94">
        <v>52</v>
      </c>
      <c r="D94" t="s">
        <v>89</v>
      </c>
      <c r="E94">
        <v>29.7</v>
      </c>
      <c r="F94" t="s">
        <v>90</v>
      </c>
      <c r="G94" t="s">
        <v>56</v>
      </c>
      <c r="H94" t="s">
        <v>55</v>
      </c>
      <c r="I94" t="s">
        <v>55</v>
      </c>
      <c r="J94" t="s">
        <v>55</v>
      </c>
      <c r="K94" t="s">
        <v>55</v>
      </c>
      <c r="L94" t="s">
        <v>108</v>
      </c>
      <c r="M94" t="s">
        <v>113</v>
      </c>
      <c r="N94">
        <v>1171</v>
      </c>
      <c r="O94">
        <v>117</v>
      </c>
      <c r="P94">
        <v>63</v>
      </c>
      <c r="Q94">
        <v>114</v>
      </c>
      <c r="R94">
        <v>80</v>
      </c>
      <c r="S94">
        <v>3</v>
      </c>
      <c r="T94">
        <v>4</v>
      </c>
      <c r="U94" t="s">
        <v>66</v>
      </c>
      <c r="V94" t="s">
        <v>96</v>
      </c>
      <c r="W94">
        <v>0.04</v>
      </c>
      <c r="X94">
        <v>1788</v>
      </c>
      <c r="Y94">
        <v>1480</v>
      </c>
      <c r="Z94">
        <v>67</v>
      </c>
      <c r="AA94">
        <v>104</v>
      </c>
      <c r="AB94">
        <v>2.0699999999999998</v>
      </c>
      <c r="AC94">
        <v>9.1999999999999993</v>
      </c>
      <c r="AD94">
        <v>57</v>
      </c>
      <c r="AE94" t="s">
        <v>55</v>
      </c>
      <c r="AF94" t="s">
        <v>64</v>
      </c>
      <c r="AG94" t="s">
        <v>62</v>
      </c>
      <c r="AH94" t="s">
        <v>63</v>
      </c>
      <c r="AI94" t="s">
        <v>64</v>
      </c>
      <c r="AJ94" t="s">
        <v>55</v>
      </c>
      <c r="AK94" t="s">
        <v>55</v>
      </c>
      <c r="AL94" t="s">
        <v>55</v>
      </c>
      <c r="AM94" t="s">
        <v>110</v>
      </c>
      <c r="AN94" t="s">
        <v>56</v>
      </c>
      <c r="AO94">
        <v>8</v>
      </c>
      <c r="AP94" t="s">
        <v>66</v>
      </c>
      <c r="AQ94" t="s">
        <v>76</v>
      </c>
      <c r="AR94" t="s">
        <v>55</v>
      </c>
      <c r="AS94" t="s">
        <v>55</v>
      </c>
      <c r="AT94" t="s">
        <v>55</v>
      </c>
      <c r="AU94">
        <v>84</v>
      </c>
      <c r="AV94">
        <v>2.75</v>
      </c>
      <c r="AW94" t="s">
        <v>86</v>
      </c>
      <c r="AX94" t="s">
        <v>115</v>
      </c>
    </row>
    <row r="95" spans="1:50">
      <c r="A95" t="s">
        <v>239</v>
      </c>
      <c r="B95">
        <v>43760</v>
      </c>
      <c r="C95">
        <v>64</v>
      </c>
      <c r="D95" t="s">
        <v>89</v>
      </c>
      <c r="E95">
        <v>24.5</v>
      </c>
      <c r="F95" t="s">
        <v>79</v>
      </c>
      <c r="G95" t="s">
        <v>55</v>
      </c>
      <c r="H95" t="s">
        <v>56</v>
      </c>
      <c r="I95" t="s">
        <v>55</v>
      </c>
      <c r="J95" t="s">
        <v>56</v>
      </c>
      <c r="K95" t="s">
        <v>55</v>
      </c>
      <c r="L95" t="s">
        <v>131</v>
      </c>
      <c r="M95" t="s">
        <v>140</v>
      </c>
      <c r="N95">
        <v>1042</v>
      </c>
      <c r="O95">
        <v>108</v>
      </c>
      <c r="P95">
        <v>69</v>
      </c>
      <c r="Q95">
        <v>82</v>
      </c>
      <c r="R95">
        <v>97</v>
      </c>
      <c r="S95">
        <v>1</v>
      </c>
      <c r="T95">
        <v>4</v>
      </c>
      <c r="U95" t="s">
        <v>59</v>
      </c>
      <c r="V95" t="s">
        <v>91</v>
      </c>
      <c r="W95">
        <v>2.89</v>
      </c>
      <c r="X95">
        <v>119</v>
      </c>
      <c r="Y95">
        <v>661</v>
      </c>
      <c r="Z95">
        <v>67</v>
      </c>
      <c r="AA95">
        <v>99</v>
      </c>
      <c r="AB95">
        <v>2.88</v>
      </c>
      <c r="AC95">
        <v>5.8</v>
      </c>
      <c r="AD95">
        <v>41</v>
      </c>
      <c r="AE95" t="s">
        <v>55</v>
      </c>
      <c r="AF95" t="s">
        <v>64</v>
      </c>
      <c r="AG95" t="s">
        <v>82</v>
      </c>
      <c r="AH95" t="s">
        <v>83</v>
      </c>
      <c r="AI95">
        <v>100</v>
      </c>
      <c r="AJ95" t="s">
        <v>56</v>
      </c>
      <c r="AK95" t="s">
        <v>55</v>
      </c>
      <c r="AL95" t="s">
        <v>56</v>
      </c>
      <c r="AM95" t="s">
        <v>134</v>
      </c>
      <c r="AN95" t="s">
        <v>55</v>
      </c>
      <c r="AO95">
        <v>6</v>
      </c>
      <c r="AP95" t="s">
        <v>66</v>
      </c>
      <c r="AQ95" t="s">
        <v>85</v>
      </c>
      <c r="AR95" t="s">
        <v>55</v>
      </c>
      <c r="AS95" t="s">
        <v>55</v>
      </c>
      <c r="AT95" t="s">
        <v>56</v>
      </c>
      <c r="AU95">
        <v>89</v>
      </c>
      <c r="AV95">
        <v>2.0499999999999998</v>
      </c>
      <c r="AW95" t="s">
        <v>68</v>
      </c>
      <c r="AX95" t="s">
        <v>69</v>
      </c>
    </row>
    <row r="96" spans="1:50">
      <c r="A96" t="s">
        <v>240</v>
      </c>
      <c r="B96">
        <v>43761</v>
      </c>
      <c r="C96">
        <v>61</v>
      </c>
      <c r="D96" t="s">
        <v>53</v>
      </c>
      <c r="E96">
        <v>26.5</v>
      </c>
      <c r="F96" t="s">
        <v>79</v>
      </c>
      <c r="G96" t="s">
        <v>55</v>
      </c>
      <c r="H96" t="s">
        <v>55</v>
      </c>
      <c r="I96" t="s">
        <v>55</v>
      </c>
      <c r="J96" t="s">
        <v>55</v>
      </c>
      <c r="K96" t="s">
        <v>55</v>
      </c>
      <c r="L96" t="s">
        <v>123</v>
      </c>
      <c r="M96" t="s">
        <v>202</v>
      </c>
      <c r="N96">
        <v>570</v>
      </c>
      <c r="O96">
        <v>147</v>
      </c>
      <c r="P96">
        <v>71</v>
      </c>
      <c r="Q96">
        <v>72</v>
      </c>
      <c r="R96">
        <v>95</v>
      </c>
      <c r="S96">
        <v>3</v>
      </c>
      <c r="T96">
        <v>1</v>
      </c>
      <c r="U96" t="s">
        <v>59</v>
      </c>
      <c r="V96" t="s">
        <v>74</v>
      </c>
      <c r="W96">
        <v>1.0999999999999999E-2</v>
      </c>
      <c r="X96">
        <v>120</v>
      </c>
      <c r="Y96">
        <v>387</v>
      </c>
      <c r="Z96">
        <v>45</v>
      </c>
      <c r="AA96">
        <v>92</v>
      </c>
      <c r="AB96">
        <v>1.99</v>
      </c>
      <c r="AC96">
        <v>5.5</v>
      </c>
      <c r="AD96">
        <v>40</v>
      </c>
      <c r="AE96" t="s">
        <v>55</v>
      </c>
      <c r="AF96" t="s">
        <v>64</v>
      </c>
      <c r="AG96" t="s">
        <v>62</v>
      </c>
      <c r="AH96" t="s">
        <v>63</v>
      </c>
      <c r="AI96" t="s">
        <v>64</v>
      </c>
      <c r="AJ96" t="s">
        <v>55</v>
      </c>
      <c r="AK96" t="s">
        <v>55</v>
      </c>
      <c r="AL96" t="s">
        <v>56</v>
      </c>
      <c r="AM96" t="s">
        <v>125</v>
      </c>
      <c r="AN96" t="s">
        <v>56</v>
      </c>
      <c r="AO96">
        <v>7</v>
      </c>
      <c r="AP96" t="s">
        <v>144</v>
      </c>
      <c r="AQ96" t="s">
        <v>151</v>
      </c>
      <c r="AR96" t="s">
        <v>55</v>
      </c>
      <c r="AS96" t="s">
        <v>55</v>
      </c>
      <c r="AT96" t="s">
        <v>55</v>
      </c>
      <c r="AU96">
        <v>88</v>
      </c>
      <c r="AV96">
        <v>2.52</v>
      </c>
      <c r="AW96" t="s">
        <v>86</v>
      </c>
      <c r="AX96" t="s">
        <v>69</v>
      </c>
    </row>
    <row r="97" spans="1:50">
      <c r="A97" t="s">
        <v>241</v>
      </c>
      <c r="B97">
        <v>43765</v>
      </c>
      <c r="C97">
        <v>78</v>
      </c>
      <c r="D97" t="s">
        <v>53</v>
      </c>
      <c r="E97">
        <v>18.8</v>
      </c>
      <c r="F97" t="s">
        <v>79</v>
      </c>
      <c r="G97" t="s">
        <v>56</v>
      </c>
      <c r="H97" t="s">
        <v>56</v>
      </c>
      <c r="I97" t="s">
        <v>55</v>
      </c>
      <c r="J97" t="s">
        <v>55</v>
      </c>
      <c r="K97" t="s">
        <v>55</v>
      </c>
      <c r="L97" t="s">
        <v>57</v>
      </c>
      <c r="M97" t="s">
        <v>242</v>
      </c>
      <c r="N97">
        <v>179</v>
      </c>
      <c r="O97">
        <v>81</v>
      </c>
      <c r="P97">
        <v>97</v>
      </c>
      <c r="Q97">
        <v>109</v>
      </c>
      <c r="R97">
        <v>91</v>
      </c>
      <c r="S97">
        <v>2</v>
      </c>
      <c r="T97">
        <v>3</v>
      </c>
      <c r="U97" t="s">
        <v>95</v>
      </c>
      <c r="V97" t="s">
        <v>137</v>
      </c>
      <c r="W97">
        <v>7.8E-2</v>
      </c>
      <c r="X97">
        <v>103</v>
      </c>
      <c r="Y97">
        <v>5942</v>
      </c>
      <c r="Z97">
        <v>66</v>
      </c>
      <c r="AA97">
        <v>83</v>
      </c>
      <c r="AB97">
        <v>1.22</v>
      </c>
      <c r="AC97">
        <v>7.6</v>
      </c>
      <c r="AD97">
        <v>53</v>
      </c>
      <c r="AE97" t="s">
        <v>56</v>
      </c>
      <c r="AF97" t="s">
        <v>61</v>
      </c>
      <c r="AG97" t="s">
        <v>62</v>
      </c>
      <c r="AH97" t="s">
        <v>63</v>
      </c>
      <c r="AI97" t="s">
        <v>64</v>
      </c>
      <c r="AJ97" t="s">
        <v>55</v>
      </c>
      <c r="AK97" t="s">
        <v>55</v>
      </c>
      <c r="AL97" t="s">
        <v>56</v>
      </c>
      <c r="AM97" t="s">
        <v>65</v>
      </c>
      <c r="AN97" t="s">
        <v>56</v>
      </c>
      <c r="AO97">
        <v>9</v>
      </c>
      <c r="AP97" t="s">
        <v>171</v>
      </c>
      <c r="AQ97" t="s">
        <v>67</v>
      </c>
      <c r="AR97" t="s">
        <v>55</v>
      </c>
      <c r="AS97" t="s">
        <v>55</v>
      </c>
      <c r="AT97" t="s">
        <v>55</v>
      </c>
      <c r="AU97">
        <v>100</v>
      </c>
      <c r="AV97">
        <v>4.12</v>
      </c>
      <c r="AW97" t="s">
        <v>135</v>
      </c>
      <c r="AX97" t="s">
        <v>69</v>
      </c>
    </row>
    <row r="98" spans="1:50">
      <c r="A98" t="s">
        <v>243</v>
      </c>
      <c r="B98">
        <v>43767</v>
      </c>
      <c r="C98">
        <v>70</v>
      </c>
      <c r="D98" t="s">
        <v>53</v>
      </c>
      <c r="E98">
        <v>24.9</v>
      </c>
      <c r="F98" t="s">
        <v>79</v>
      </c>
      <c r="G98" t="s">
        <v>55</v>
      </c>
      <c r="H98" t="s">
        <v>55</v>
      </c>
      <c r="I98" t="s">
        <v>56</v>
      </c>
      <c r="J98" t="s">
        <v>55</v>
      </c>
      <c r="K98" t="s">
        <v>55</v>
      </c>
      <c r="L98" t="s">
        <v>57</v>
      </c>
      <c r="M98" t="s">
        <v>156</v>
      </c>
      <c r="N98">
        <v>783</v>
      </c>
      <c r="O98">
        <v>106</v>
      </c>
      <c r="P98">
        <v>86</v>
      </c>
      <c r="Q98">
        <v>121</v>
      </c>
      <c r="R98">
        <v>88</v>
      </c>
      <c r="S98">
        <v>1</v>
      </c>
      <c r="T98">
        <v>4</v>
      </c>
      <c r="U98" t="s">
        <v>66</v>
      </c>
      <c r="V98" t="s">
        <v>60</v>
      </c>
      <c r="W98">
        <v>0.36399999999999999</v>
      </c>
      <c r="X98">
        <v>561</v>
      </c>
      <c r="Y98">
        <v>1948</v>
      </c>
      <c r="Z98">
        <v>134</v>
      </c>
      <c r="AA98">
        <v>62</v>
      </c>
      <c r="AB98">
        <v>1.67</v>
      </c>
      <c r="AC98">
        <v>5.7</v>
      </c>
      <c r="AD98">
        <v>68</v>
      </c>
      <c r="AE98" t="s">
        <v>56</v>
      </c>
      <c r="AF98" t="s">
        <v>61</v>
      </c>
      <c r="AG98" t="s">
        <v>62</v>
      </c>
      <c r="AH98" t="s">
        <v>63</v>
      </c>
      <c r="AI98" t="s">
        <v>64</v>
      </c>
      <c r="AJ98" t="s">
        <v>55</v>
      </c>
      <c r="AK98" t="s">
        <v>55</v>
      </c>
      <c r="AL98" t="s">
        <v>56</v>
      </c>
      <c r="AM98" t="s">
        <v>65</v>
      </c>
      <c r="AN98" t="s">
        <v>55</v>
      </c>
      <c r="AO98">
        <v>7</v>
      </c>
      <c r="AP98" t="s">
        <v>66</v>
      </c>
      <c r="AQ98" t="s">
        <v>67</v>
      </c>
      <c r="AR98" t="s">
        <v>55</v>
      </c>
      <c r="AS98" t="s">
        <v>55</v>
      </c>
      <c r="AT98" t="s">
        <v>55</v>
      </c>
      <c r="AU98">
        <v>97</v>
      </c>
      <c r="AV98">
        <v>2.19</v>
      </c>
      <c r="AW98" t="s">
        <v>68</v>
      </c>
      <c r="AX98" t="s">
        <v>69</v>
      </c>
    </row>
    <row r="99" spans="1:50">
      <c r="A99" t="s">
        <v>244</v>
      </c>
      <c r="B99">
        <v>43782</v>
      </c>
      <c r="C99">
        <v>65</v>
      </c>
      <c r="D99" t="s">
        <v>53</v>
      </c>
      <c r="E99">
        <v>33</v>
      </c>
      <c r="F99" t="s">
        <v>54</v>
      </c>
      <c r="G99" t="s">
        <v>56</v>
      </c>
      <c r="H99" t="s">
        <v>56</v>
      </c>
      <c r="I99" t="s">
        <v>55</v>
      </c>
      <c r="J99" t="s">
        <v>56</v>
      </c>
      <c r="K99" t="s">
        <v>55</v>
      </c>
      <c r="L99" t="s">
        <v>131</v>
      </c>
      <c r="M99" t="s">
        <v>169</v>
      </c>
      <c r="N99">
        <v>680</v>
      </c>
      <c r="O99">
        <v>172</v>
      </c>
      <c r="P99">
        <v>77</v>
      </c>
      <c r="Q99">
        <v>80</v>
      </c>
      <c r="R99">
        <v>96</v>
      </c>
      <c r="S99">
        <v>1</v>
      </c>
      <c r="T99">
        <v>2</v>
      </c>
      <c r="U99" t="s">
        <v>59</v>
      </c>
      <c r="V99" t="s">
        <v>137</v>
      </c>
      <c r="W99">
        <v>8.7560000000000002</v>
      </c>
      <c r="X99">
        <v>108</v>
      </c>
      <c r="Y99">
        <v>303</v>
      </c>
      <c r="Z99">
        <v>86</v>
      </c>
      <c r="AA99">
        <v>71</v>
      </c>
      <c r="AB99">
        <v>3.49</v>
      </c>
      <c r="AC99">
        <v>6.8</v>
      </c>
      <c r="AD99">
        <v>42</v>
      </c>
      <c r="AE99" t="s">
        <v>55</v>
      </c>
      <c r="AF99" t="s">
        <v>64</v>
      </c>
      <c r="AG99" t="s">
        <v>97</v>
      </c>
      <c r="AH99" t="s">
        <v>104</v>
      </c>
      <c r="AI99">
        <v>73</v>
      </c>
      <c r="AJ99" t="s">
        <v>56</v>
      </c>
      <c r="AK99" t="s">
        <v>56</v>
      </c>
      <c r="AL99" t="s">
        <v>56</v>
      </c>
      <c r="AM99" t="s">
        <v>134</v>
      </c>
      <c r="AN99" t="s">
        <v>55</v>
      </c>
      <c r="AO99">
        <v>4</v>
      </c>
      <c r="AP99" t="s">
        <v>141</v>
      </c>
      <c r="AQ99" t="s">
        <v>85</v>
      </c>
      <c r="AR99" t="s">
        <v>55</v>
      </c>
      <c r="AS99" t="s">
        <v>55</v>
      </c>
      <c r="AT99" t="s">
        <v>55</v>
      </c>
      <c r="AU99">
        <v>88</v>
      </c>
      <c r="AV99">
        <v>1.65</v>
      </c>
      <c r="AW99" t="s">
        <v>68</v>
      </c>
      <c r="AX99" t="s">
        <v>69</v>
      </c>
    </row>
    <row r="100" spans="1:50">
      <c r="A100" t="s">
        <v>245</v>
      </c>
      <c r="B100">
        <v>43784</v>
      </c>
      <c r="C100">
        <v>68</v>
      </c>
      <c r="D100" t="s">
        <v>53</v>
      </c>
      <c r="E100">
        <v>29.2</v>
      </c>
      <c r="F100" t="s">
        <v>54</v>
      </c>
      <c r="G100" t="s">
        <v>55</v>
      </c>
      <c r="H100" t="s">
        <v>55</v>
      </c>
      <c r="I100" t="s">
        <v>55</v>
      </c>
      <c r="J100" t="s">
        <v>55</v>
      </c>
      <c r="K100" t="s">
        <v>55</v>
      </c>
      <c r="L100" t="s">
        <v>108</v>
      </c>
      <c r="M100" t="s">
        <v>113</v>
      </c>
      <c r="N100">
        <v>3879</v>
      </c>
      <c r="O100">
        <v>135</v>
      </c>
      <c r="P100">
        <v>90</v>
      </c>
      <c r="Q100">
        <v>125</v>
      </c>
      <c r="R100">
        <v>89</v>
      </c>
      <c r="S100">
        <v>2</v>
      </c>
      <c r="T100">
        <v>2</v>
      </c>
      <c r="U100" t="s">
        <v>59</v>
      </c>
      <c r="V100" t="s">
        <v>91</v>
      </c>
      <c r="W100">
        <v>9.1999999999999998E-2</v>
      </c>
      <c r="X100">
        <v>1008</v>
      </c>
      <c r="Y100">
        <v>435</v>
      </c>
      <c r="Z100">
        <v>109</v>
      </c>
      <c r="AA100">
        <v>81</v>
      </c>
      <c r="AB100">
        <v>2.4900000000000002</v>
      </c>
      <c r="AC100">
        <v>5.4</v>
      </c>
      <c r="AD100">
        <v>39</v>
      </c>
      <c r="AE100" t="s">
        <v>55</v>
      </c>
      <c r="AF100" t="s">
        <v>64</v>
      </c>
      <c r="AG100" t="s">
        <v>62</v>
      </c>
      <c r="AH100" t="s">
        <v>63</v>
      </c>
      <c r="AI100" t="s">
        <v>64</v>
      </c>
      <c r="AJ100" t="s">
        <v>55</v>
      </c>
      <c r="AK100" t="s">
        <v>55</v>
      </c>
      <c r="AL100" t="s">
        <v>55</v>
      </c>
      <c r="AM100" t="s">
        <v>110</v>
      </c>
      <c r="AN100" t="s">
        <v>55</v>
      </c>
      <c r="AO100">
        <v>5</v>
      </c>
      <c r="AP100" t="s">
        <v>66</v>
      </c>
      <c r="AQ100" t="s">
        <v>76</v>
      </c>
      <c r="AR100" t="s">
        <v>55</v>
      </c>
      <c r="AS100" t="s">
        <v>55</v>
      </c>
      <c r="AT100" t="s">
        <v>55</v>
      </c>
      <c r="AU100">
        <v>77</v>
      </c>
      <c r="AV100">
        <v>2.06</v>
      </c>
      <c r="AW100" t="s">
        <v>68</v>
      </c>
      <c r="AX100" t="s">
        <v>115</v>
      </c>
    </row>
    <row r="101" spans="1:50">
      <c r="A101" t="s">
        <v>246</v>
      </c>
      <c r="B101">
        <v>43785</v>
      </c>
      <c r="C101">
        <v>50</v>
      </c>
      <c r="D101" t="s">
        <v>53</v>
      </c>
      <c r="E101">
        <v>23.3</v>
      </c>
      <c r="F101" t="s">
        <v>90</v>
      </c>
      <c r="G101" t="s">
        <v>56</v>
      </c>
      <c r="H101" t="s">
        <v>56</v>
      </c>
      <c r="I101" t="s">
        <v>55</v>
      </c>
      <c r="J101" t="s">
        <v>55</v>
      </c>
      <c r="K101" t="s">
        <v>55</v>
      </c>
      <c r="L101" t="s">
        <v>57</v>
      </c>
      <c r="M101" t="s">
        <v>156</v>
      </c>
      <c r="N101">
        <v>1409</v>
      </c>
      <c r="O101">
        <v>104</v>
      </c>
      <c r="P101">
        <v>67</v>
      </c>
      <c r="Q101">
        <v>146</v>
      </c>
      <c r="R101">
        <v>93</v>
      </c>
      <c r="S101">
        <v>1</v>
      </c>
      <c r="T101">
        <v>2</v>
      </c>
      <c r="U101" t="s">
        <v>95</v>
      </c>
      <c r="V101" t="s">
        <v>91</v>
      </c>
      <c r="W101">
        <v>0.123</v>
      </c>
      <c r="X101">
        <v>43</v>
      </c>
      <c r="Y101">
        <v>2708</v>
      </c>
      <c r="Z101">
        <v>87</v>
      </c>
      <c r="AA101">
        <v>97</v>
      </c>
      <c r="AB101">
        <v>1.76</v>
      </c>
      <c r="AC101">
        <v>8.4</v>
      </c>
      <c r="AD101">
        <v>44</v>
      </c>
      <c r="AE101" t="s">
        <v>56</v>
      </c>
      <c r="AF101" t="s">
        <v>247</v>
      </c>
      <c r="AG101" t="s">
        <v>62</v>
      </c>
      <c r="AH101" t="s">
        <v>63</v>
      </c>
      <c r="AI101" t="s">
        <v>64</v>
      </c>
      <c r="AJ101" t="s">
        <v>55</v>
      </c>
      <c r="AK101" t="s">
        <v>55</v>
      </c>
      <c r="AL101" t="s">
        <v>56</v>
      </c>
      <c r="AM101" t="s">
        <v>65</v>
      </c>
      <c r="AN101" t="s">
        <v>56</v>
      </c>
      <c r="AO101">
        <v>6</v>
      </c>
      <c r="AP101" t="s">
        <v>66</v>
      </c>
      <c r="AQ101" t="s">
        <v>67</v>
      </c>
      <c r="AR101" t="s">
        <v>55</v>
      </c>
      <c r="AS101" t="s">
        <v>55</v>
      </c>
      <c r="AT101" t="s">
        <v>55</v>
      </c>
      <c r="AU101">
        <v>98</v>
      </c>
      <c r="AV101">
        <v>2.06</v>
      </c>
      <c r="AW101" t="s">
        <v>68</v>
      </c>
      <c r="AX101" t="s">
        <v>69</v>
      </c>
    </row>
    <row r="102" spans="1:50">
      <c r="A102" t="s">
        <v>248</v>
      </c>
      <c r="B102">
        <v>43786</v>
      </c>
      <c r="C102">
        <v>48</v>
      </c>
      <c r="D102" t="s">
        <v>89</v>
      </c>
      <c r="E102">
        <v>24.4</v>
      </c>
      <c r="F102" t="s">
        <v>54</v>
      </c>
      <c r="G102" t="s">
        <v>55</v>
      </c>
      <c r="H102" t="s">
        <v>56</v>
      </c>
      <c r="I102" t="s">
        <v>55</v>
      </c>
      <c r="J102" t="s">
        <v>55</v>
      </c>
      <c r="K102" t="s">
        <v>55</v>
      </c>
      <c r="L102" t="s">
        <v>131</v>
      </c>
      <c r="M102" t="s">
        <v>132</v>
      </c>
      <c r="N102">
        <v>1125</v>
      </c>
      <c r="O102">
        <v>146</v>
      </c>
      <c r="P102">
        <v>79</v>
      </c>
      <c r="Q102">
        <v>80</v>
      </c>
      <c r="R102">
        <v>95</v>
      </c>
      <c r="S102">
        <v>4</v>
      </c>
      <c r="T102">
        <v>2</v>
      </c>
      <c r="U102" t="s">
        <v>59</v>
      </c>
      <c r="V102" t="s">
        <v>96</v>
      </c>
      <c r="W102">
        <v>12.349</v>
      </c>
      <c r="X102">
        <v>83</v>
      </c>
      <c r="Y102">
        <v>564</v>
      </c>
      <c r="Z102">
        <v>91</v>
      </c>
      <c r="AA102">
        <v>103</v>
      </c>
      <c r="AB102">
        <v>4.8600000000000003</v>
      </c>
      <c r="AC102">
        <v>4.8</v>
      </c>
      <c r="AD102">
        <v>42</v>
      </c>
      <c r="AE102" t="s">
        <v>55</v>
      </c>
      <c r="AF102" t="s">
        <v>64</v>
      </c>
      <c r="AG102" t="s">
        <v>97</v>
      </c>
      <c r="AH102" t="s">
        <v>83</v>
      </c>
      <c r="AI102">
        <v>80</v>
      </c>
      <c r="AJ102" t="s">
        <v>56</v>
      </c>
      <c r="AK102" t="s">
        <v>55</v>
      </c>
      <c r="AL102" t="s">
        <v>56</v>
      </c>
      <c r="AM102" t="s">
        <v>134</v>
      </c>
      <c r="AN102" t="s">
        <v>56</v>
      </c>
      <c r="AO102">
        <v>6</v>
      </c>
      <c r="AP102" t="s">
        <v>66</v>
      </c>
      <c r="AQ102" t="s">
        <v>85</v>
      </c>
      <c r="AR102" t="s">
        <v>55</v>
      </c>
      <c r="AS102" t="s">
        <v>56</v>
      </c>
      <c r="AT102" t="s">
        <v>56</v>
      </c>
      <c r="AU102">
        <v>96</v>
      </c>
      <c r="AV102">
        <v>3.01</v>
      </c>
      <c r="AW102" t="s">
        <v>86</v>
      </c>
      <c r="AX102" t="s">
        <v>69</v>
      </c>
    </row>
    <row r="103" spans="1:50">
      <c r="A103" t="s">
        <v>249</v>
      </c>
      <c r="B103">
        <v>43788</v>
      </c>
      <c r="C103">
        <v>41</v>
      </c>
      <c r="D103" t="s">
        <v>53</v>
      </c>
      <c r="E103">
        <v>22.5</v>
      </c>
      <c r="F103" t="s">
        <v>79</v>
      </c>
      <c r="G103" t="s">
        <v>55</v>
      </c>
      <c r="H103" t="s">
        <v>55</v>
      </c>
      <c r="I103" t="s">
        <v>55</v>
      </c>
      <c r="J103" t="s">
        <v>55</v>
      </c>
      <c r="K103" t="s">
        <v>55</v>
      </c>
      <c r="L103" t="s">
        <v>159</v>
      </c>
      <c r="M103" t="s">
        <v>160</v>
      </c>
      <c r="N103">
        <v>3642</v>
      </c>
      <c r="O103">
        <v>121</v>
      </c>
      <c r="P103">
        <v>82</v>
      </c>
      <c r="Q103">
        <v>45</v>
      </c>
      <c r="R103">
        <v>95</v>
      </c>
      <c r="S103">
        <v>2</v>
      </c>
      <c r="T103">
        <v>2</v>
      </c>
      <c r="U103" t="s">
        <v>59</v>
      </c>
      <c r="V103" t="s">
        <v>60</v>
      </c>
      <c r="W103">
        <v>5.0000000000000001E-3</v>
      </c>
      <c r="X103">
        <v>289</v>
      </c>
      <c r="Y103">
        <v>627</v>
      </c>
      <c r="Z103">
        <v>110</v>
      </c>
      <c r="AA103">
        <v>102</v>
      </c>
      <c r="AB103">
        <v>4.3600000000000003</v>
      </c>
      <c r="AC103">
        <v>5.6</v>
      </c>
      <c r="AD103">
        <v>53</v>
      </c>
      <c r="AE103" t="s">
        <v>55</v>
      </c>
      <c r="AF103" t="s">
        <v>64</v>
      </c>
      <c r="AG103" t="s">
        <v>62</v>
      </c>
      <c r="AH103" t="s">
        <v>120</v>
      </c>
      <c r="AI103">
        <v>92</v>
      </c>
      <c r="AJ103" t="s">
        <v>55</v>
      </c>
      <c r="AK103" t="s">
        <v>55</v>
      </c>
      <c r="AL103" t="s">
        <v>56</v>
      </c>
      <c r="AM103" t="s">
        <v>161</v>
      </c>
      <c r="AN103" t="s">
        <v>55</v>
      </c>
      <c r="AO103">
        <v>4</v>
      </c>
      <c r="AP103" t="s">
        <v>99</v>
      </c>
      <c r="AQ103" t="s">
        <v>151</v>
      </c>
      <c r="AR103" t="s">
        <v>55</v>
      </c>
      <c r="AS103" t="s">
        <v>55</v>
      </c>
      <c r="AT103" t="s">
        <v>56</v>
      </c>
      <c r="AU103">
        <v>88</v>
      </c>
      <c r="AV103">
        <v>1.22</v>
      </c>
      <c r="AW103" t="s">
        <v>68</v>
      </c>
      <c r="AX103" t="s">
        <v>69</v>
      </c>
    </row>
    <row r="104" spans="1:50">
      <c r="A104" t="s">
        <v>250</v>
      </c>
      <c r="B104">
        <v>43791</v>
      </c>
      <c r="C104">
        <v>85</v>
      </c>
      <c r="D104" t="s">
        <v>53</v>
      </c>
      <c r="E104">
        <v>23.6</v>
      </c>
      <c r="F104" t="s">
        <v>90</v>
      </c>
      <c r="G104" t="s">
        <v>55</v>
      </c>
      <c r="H104" t="s">
        <v>56</v>
      </c>
      <c r="I104" t="s">
        <v>55</v>
      </c>
      <c r="J104" t="s">
        <v>55</v>
      </c>
      <c r="K104" t="s">
        <v>55</v>
      </c>
      <c r="L104" t="s">
        <v>101</v>
      </c>
      <c r="M104" t="s">
        <v>102</v>
      </c>
      <c r="N104">
        <v>816</v>
      </c>
      <c r="O104">
        <v>127</v>
      </c>
      <c r="P104">
        <v>60</v>
      </c>
      <c r="Q104">
        <v>46</v>
      </c>
      <c r="R104">
        <v>99</v>
      </c>
      <c r="S104">
        <v>1</v>
      </c>
      <c r="T104">
        <v>1</v>
      </c>
      <c r="U104" t="s">
        <v>66</v>
      </c>
      <c r="V104" t="s">
        <v>137</v>
      </c>
      <c r="W104">
        <v>2.9590000000000001</v>
      </c>
      <c r="X104">
        <v>268</v>
      </c>
      <c r="Y104">
        <v>548</v>
      </c>
      <c r="Z104">
        <v>108</v>
      </c>
      <c r="AA104">
        <v>49</v>
      </c>
      <c r="AB104">
        <v>3.8</v>
      </c>
      <c r="AC104">
        <v>5.6</v>
      </c>
      <c r="AD104">
        <v>53</v>
      </c>
      <c r="AE104" t="s">
        <v>55</v>
      </c>
      <c r="AF104" t="s">
        <v>64</v>
      </c>
      <c r="AG104" t="s">
        <v>62</v>
      </c>
      <c r="AH104" t="s">
        <v>133</v>
      </c>
      <c r="AI104">
        <v>86</v>
      </c>
      <c r="AJ104" t="s">
        <v>55</v>
      </c>
      <c r="AK104" t="s">
        <v>55</v>
      </c>
      <c r="AL104" t="s">
        <v>56</v>
      </c>
      <c r="AM104" t="s">
        <v>105</v>
      </c>
      <c r="AN104" t="s">
        <v>55</v>
      </c>
      <c r="AO104">
        <v>4</v>
      </c>
      <c r="AP104" t="s">
        <v>171</v>
      </c>
      <c r="AQ104" t="s">
        <v>85</v>
      </c>
      <c r="AR104" t="s">
        <v>56</v>
      </c>
      <c r="AS104" t="s">
        <v>55</v>
      </c>
      <c r="AT104" t="s">
        <v>56</v>
      </c>
      <c r="AU104">
        <v>94</v>
      </c>
      <c r="AV104">
        <v>2.2999999999999998</v>
      </c>
      <c r="AW104" t="s">
        <v>86</v>
      </c>
      <c r="AX104" t="s">
        <v>69</v>
      </c>
    </row>
    <row r="105" spans="1:50">
      <c r="A105" t="s">
        <v>251</v>
      </c>
      <c r="B105">
        <v>43793</v>
      </c>
      <c r="C105">
        <v>80</v>
      </c>
      <c r="D105" t="s">
        <v>89</v>
      </c>
      <c r="E105">
        <v>25.8</v>
      </c>
      <c r="F105" t="s">
        <v>54</v>
      </c>
      <c r="G105" t="s">
        <v>56</v>
      </c>
      <c r="H105" t="s">
        <v>55</v>
      </c>
      <c r="I105" t="s">
        <v>55</v>
      </c>
      <c r="J105" t="s">
        <v>56</v>
      </c>
      <c r="K105" t="s">
        <v>55</v>
      </c>
      <c r="L105" t="s">
        <v>123</v>
      </c>
      <c r="M105" t="s">
        <v>217</v>
      </c>
      <c r="N105">
        <v>1057</v>
      </c>
      <c r="O105">
        <v>188</v>
      </c>
      <c r="P105">
        <v>76</v>
      </c>
      <c r="Q105">
        <v>82</v>
      </c>
      <c r="R105">
        <v>94</v>
      </c>
      <c r="S105">
        <v>1</v>
      </c>
      <c r="T105">
        <v>1</v>
      </c>
      <c r="U105" t="s">
        <v>73</v>
      </c>
      <c r="V105" t="s">
        <v>74</v>
      </c>
      <c r="W105">
        <v>6.5000000000000002E-2</v>
      </c>
      <c r="X105">
        <v>185</v>
      </c>
      <c r="Y105">
        <v>681</v>
      </c>
      <c r="Z105">
        <v>79</v>
      </c>
      <c r="AA105">
        <v>72</v>
      </c>
      <c r="AB105">
        <v>1.58</v>
      </c>
      <c r="AC105">
        <v>8.6</v>
      </c>
      <c r="AD105">
        <v>48</v>
      </c>
      <c r="AE105" t="s">
        <v>55</v>
      </c>
      <c r="AF105" t="s">
        <v>64</v>
      </c>
      <c r="AG105" t="s">
        <v>62</v>
      </c>
      <c r="AH105" t="s">
        <v>63</v>
      </c>
      <c r="AI105" t="s">
        <v>64</v>
      </c>
      <c r="AJ105" t="s">
        <v>55</v>
      </c>
      <c r="AK105" t="s">
        <v>55</v>
      </c>
      <c r="AL105" t="s">
        <v>56</v>
      </c>
      <c r="AM105" t="s">
        <v>125</v>
      </c>
      <c r="AN105" t="s">
        <v>55</v>
      </c>
      <c r="AO105">
        <v>1</v>
      </c>
      <c r="AP105" t="s">
        <v>66</v>
      </c>
      <c r="AQ105" t="s">
        <v>126</v>
      </c>
      <c r="AR105" t="s">
        <v>55</v>
      </c>
      <c r="AS105" t="s">
        <v>55</v>
      </c>
      <c r="AT105" t="s">
        <v>55</v>
      </c>
      <c r="AU105">
        <v>96</v>
      </c>
      <c r="AV105">
        <v>1.6</v>
      </c>
      <c r="AW105" t="s">
        <v>68</v>
      </c>
      <c r="AX105" t="s">
        <v>69</v>
      </c>
    </row>
    <row r="106" spans="1:50">
      <c r="A106" t="s">
        <v>252</v>
      </c>
      <c r="B106">
        <v>43794</v>
      </c>
      <c r="C106">
        <v>67</v>
      </c>
      <c r="D106" t="s">
        <v>53</v>
      </c>
      <c r="E106">
        <v>36</v>
      </c>
      <c r="F106" t="s">
        <v>79</v>
      </c>
      <c r="G106" t="s">
        <v>55</v>
      </c>
      <c r="H106" t="s">
        <v>55</v>
      </c>
      <c r="I106" t="s">
        <v>56</v>
      </c>
      <c r="J106" t="s">
        <v>55</v>
      </c>
      <c r="K106" t="s">
        <v>55</v>
      </c>
      <c r="L106" t="s">
        <v>80</v>
      </c>
      <c r="M106" t="s">
        <v>163</v>
      </c>
      <c r="N106">
        <v>4251</v>
      </c>
      <c r="O106">
        <v>127</v>
      </c>
      <c r="P106">
        <v>78</v>
      </c>
      <c r="Q106">
        <v>84</v>
      </c>
      <c r="R106">
        <v>96</v>
      </c>
      <c r="S106">
        <v>1</v>
      </c>
      <c r="T106">
        <v>3</v>
      </c>
      <c r="U106" t="s">
        <v>95</v>
      </c>
      <c r="V106" t="s">
        <v>137</v>
      </c>
      <c r="W106">
        <v>6.4000000000000001E-2</v>
      </c>
      <c r="X106">
        <v>199</v>
      </c>
      <c r="Y106">
        <v>147</v>
      </c>
      <c r="Z106">
        <v>153</v>
      </c>
      <c r="AA106">
        <v>33</v>
      </c>
      <c r="AB106">
        <v>3.27</v>
      </c>
      <c r="AC106">
        <v>5.3</v>
      </c>
      <c r="AD106">
        <v>36</v>
      </c>
      <c r="AE106" t="s">
        <v>55</v>
      </c>
      <c r="AF106" t="s">
        <v>64</v>
      </c>
      <c r="AG106" t="s">
        <v>97</v>
      </c>
      <c r="AH106" t="s">
        <v>133</v>
      </c>
      <c r="AI106">
        <v>57</v>
      </c>
      <c r="AJ106" t="s">
        <v>55</v>
      </c>
      <c r="AK106" t="s">
        <v>55</v>
      </c>
      <c r="AL106" t="s">
        <v>55</v>
      </c>
      <c r="AM106" t="s">
        <v>84</v>
      </c>
      <c r="AN106" t="s">
        <v>55</v>
      </c>
      <c r="AO106">
        <v>3</v>
      </c>
      <c r="AP106" t="s">
        <v>66</v>
      </c>
      <c r="AQ106" t="s">
        <v>85</v>
      </c>
      <c r="AR106" t="s">
        <v>55</v>
      </c>
      <c r="AS106" t="s">
        <v>55</v>
      </c>
      <c r="AT106" t="s">
        <v>55</v>
      </c>
      <c r="AU106">
        <v>77</v>
      </c>
      <c r="AV106">
        <v>1.59</v>
      </c>
      <c r="AW106" t="s">
        <v>68</v>
      </c>
      <c r="AX106" t="s">
        <v>115</v>
      </c>
    </row>
    <row r="107" spans="1:50">
      <c r="A107" t="s">
        <v>253</v>
      </c>
      <c r="B107">
        <v>43794</v>
      </c>
      <c r="C107">
        <v>56</v>
      </c>
      <c r="D107" t="s">
        <v>53</v>
      </c>
      <c r="E107">
        <v>30.4</v>
      </c>
      <c r="F107" t="s">
        <v>54</v>
      </c>
      <c r="G107" t="s">
        <v>55</v>
      </c>
      <c r="H107" t="s">
        <v>55</v>
      </c>
      <c r="I107" t="s">
        <v>55</v>
      </c>
      <c r="J107" t="s">
        <v>55</v>
      </c>
      <c r="K107" t="s">
        <v>55</v>
      </c>
      <c r="L107" t="s">
        <v>57</v>
      </c>
      <c r="M107" t="s">
        <v>242</v>
      </c>
      <c r="N107">
        <v>430</v>
      </c>
      <c r="O107">
        <v>134</v>
      </c>
      <c r="P107">
        <v>58</v>
      </c>
      <c r="Q107">
        <v>119</v>
      </c>
      <c r="R107">
        <v>94</v>
      </c>
      <c r="S107">
        <v>2</v>
      </c>
      <c r="T107">
        <v>2</v>
      </c>
      <c r="U107" t="s">
        <v>73</v>
      </c>
      <c r="V107" t="s">
        <v>91</v>
      </c>
      <c r="W107">
        <v>8.1000000000000003E-2</v>
      </c>
      <c r="X107">
        <v>227</v>
      </c>
      <c r="Y107">
        <v>6969</v>
      </c>
      <c r="Z107">
        <v>88</v>
      </c>
      <c r="AA107">
        <v>101</v>
      </c>
      <c r="AB107">
        <v>2.6</v>
      </c>
      <c r="AC107">
        <v>5.9</v>
      </c>
      <c r="AD107">
        <v>38</v>
      </c>
      <c r="AE107" t="s">
        <v>56</v>
      </c>
      <c r="AF107" t="s">
        <v>157</v>
      </c>
      <c r="AG107" t="s">
        <v>62</v>
      </c>
      <c r="AH107" t="s">
        <v>63</v>
      </c>
      <c r="AI107" t="s">
        <v>64</v>
      </c>
      <c r="AJ107" t="s">
        <v>55</v>
      </c>
      <c r="AK107" t="s">
        <v>55</v>
      </c>
      <c r="AL107" t="s">
        <v>56</v>
      </c>
      <c r="AM107" t="s">
        <v>65</v>
      </c>
      <c r="AN107" t="s">
        <v>55</v>
      </c>
      <c r="AO107">
        <v>5</v>
      </c>
      <c r="AP107" t="s">
        <v>66</v>
      </c>
      <c r="AQ107" t="s">
        <v>67</v>
      </c>
      <c r="AR107" t="s">
        <v>55</v>
      </c>
      <c r="AS107" t="s">
        <v>55</v>
      </c>
      <c r="AT107" t="s">
        <v>55</v>
      </c>
      <c r="AU107">
        <v>89</v>
      </c>
      <c r="AV107">
        <v>1.52</v>
      </c>
      <c r="AW107" t="s">
        <v>68</v>
      </c>
      <c r="AX107" t="s">
        <v>69</v>
      </c>
    </row>
    <row r="108" spans="1:50">
      <c r="A108" t="s">
        <v>254</v>
      </c>
      <c r="B108">
        <v>43796</v>
      </c>
      <c r="C108">
        <v>57</v>
      </c>
      <c r="D108" t="s">
        <v>53</v>
      </c>
      <c r="E108">
        <v>17.100000000000001</v>
      </c>
      <c r="F108" t="s">
        <v>79</v>
      </c>
      <c r="G108" t="s">
        <v>56</v>
      </c>
      <c r="H108" t="s">
        <v>55</v>
      </c>
      <c r="I108" t="s">
        <v>55</v>
      </c>
      <c r="J108" t="s">
        <v>55</v>
      </c>
      <c r="K108" t="s">
        <v>55</v>
      </c>
      <c r="L108" t="s">
        <v>131</v>
      </c>
      <c r="M108" t="s">
        <v>169</v>
      </c>
      <c r="N108">
        <v>494</v>
      </c>
      <c r="O108">
        <v>144</v>
      </c>
      <c r="P108">
        <v>80</v>
      </c>
      <c r="Q108">
        <v>121</v>
      </c>
      <c r="R108">
        <v>98</v>
      </c>
      <c r="S108">
        <v>1</v>
      </c>
      <c r="T108">
        <v>4</v>
      </c>
      <c r="U108" t="s">
        <v>95</v>
      </c>
      <c r="V108" t="s">
        <v>60</v>
      </c>
      <c r="W108">
        <v>17.893999999999998</v>
      </c>
      <c r="X108">
        <v>565</v>
      </c>
      <c r="Y108">
        <v>630</v>
      </c>
      <c r="Z108">
        <v>105</v>
      </c>
      <c r="AA108">
        <v>88</v>
      </c>
      <c r="AB108">
        <v>2.69</v>
      </c>
      <c r="AC108">
        <v>6.5</v>
      </c>
      <c r="AD108">
        <v>31</v>
      </c>
      <c r="AE108" t="s">
        <v>55</v>
      </c>
      <c r="AF108" t="s">
        <v>64</v>
      </c>
      <c r="AG108" t="s">
        <v>82</v>
      </c>
      <c r="AH108" t="s">
        <v>104</v>
      </c>
      <c r="AI108">
        <v>71</v>
      </c>
      <c r="AJ108" t="s">
        <v>56</v>
      </c>
      <c r="AK108" t="s">
        <v>55</v>
      </c>
      <c r="AL108" t="s">
        <v>56</v>
      </c>
      <c r="AM108" t="s">
        <v>134</v>
      </c>
      <c r="AN108" t="s">
        <v>55</v>
      </c>
      <c r="AO108">
        <v>8</v>
      </c>
      <c r="AP108" t="s">
        <v>114</v>
      </c>
      <c r="AQ108" t="s">
        <v>85</v>
      </c>
      <c r="AR108" t="s">
        <v>55</v>
      </c>
      <c r="AS108" t="s">
        <v>55</v>
      </c>
      <c r="AT108" t="s">
        <v>56</v>
      </c>
      <c r="AU108">
        <v>100</v>
      </c>
      <c r="AV108">
        <v>1.49</v>
      </c>
      <c r="AW108" t="s">
        <v>68</v>
      </c>
      <c r="AX108" t="s">
        <v>147</v>
      </c>
    </row>
    <row r="109" spans="1:50">
      <c r="A109" t="s">
        <v>255</v>
      </c>
      <c r="B109">
        <v>43796</v>
      </c>
      <c r="C109">
        <v>78</v>
      </c>
      <c r="D109" t="s">
        <v>53</v>
      </c>
      <c r="E109">
        <v>27.8</v>
      </c>
      <c r="F109" t="s">
        <v>79</v>
      </c>
      <c r="G109" t="s">
        <v>55</v>
      </c>
      <c r="H109" t="s">
        <v>56</v>
      </c>
      <c r="I109" t="s">
        <v>55</v>
      </c>
      <c r="J109" t="s">
        <v>56</v>
      </c>
      <c r="K109" t="s">
        <v>55</v>
      </c>
      <c r="L109" t="s">
        <v>108</v>
      </c>
      <c r="M109" t="s">
        <v>113</v>
      </c>
      <c r="N109">
        <v>1993</v>
      </c>
      <c r="O109">
        <v>156</v>
      </c>
      <c r="P109">
        <v>96</v>
      </c>
      <c r="Q109">
        <v>58</v>
      </c>
      <c r="R109">
        <v>90</v>
      </c>
      <c r="S109">
        <v>3</v>
      </c>
      <c r="T109">
        <v>2</v>
      </c>
      <c r="U109" t="s">
        <v>66</v>
      </c>
      <c r="V109" t="s">
        <v>96</v>
      </c>
      <c r="W109">
        <v>0.112</v>
      </c>
      <c r="X109">
        <v>1912</v>
      </c>
      <c r="Y109">
        <v>1182</v>
      </c>
      <c r="Z109">
        <v>80</v>
      </c>
      <c r="AA109">
        <v>91</v>
      </c>
      <c r="AB109">
        <v>4.1500000000000004</v>
      </c>
      <c r="AC109">
        <v>5.2</v>
      </c>
      <c r="AD109">
        <v>17</v>
      </c>
      <c r="AE109" t="s">
        <v>55</v>
      </c>
      <c r="AF109" t="s">
        <v>64</v>
      </c>
      <c r="AG109" t="s">
        <v>62</v>
      </c>
      <c r="AH109" t="s">
        <v>63</v>
      </c>
      <c r="AI109" t="s">
        <v>64</v>
      </c>
      <c r="AJ109" t="s">
        <v>55</v>
      </c>
      <c r="AK109" t="s">
        <v>55</v>
      </c>
      <c r="AL109" t="s">
        <v>55</v>
      </c>
      <c r="AM109" t="s">
        <v>110</v>
      </c>
      <c r="AN109" t="s">
        <v>56</v>
      </c>
      <c r="AO109">
        <v>13</v>
      </c>
      <c r="AP109" t="s">
        <v>99</v>
      </c>
      <c r="AQ109" t="s">
        <v>76</v>
      </c>
      <c r="AR109" t="s">
        <v>55</v>
      </c>
      <c r="AS109" t="s">
        <v>56</v>
      </c>
      <c r="AT109" t="s">
        <v>56</v>
      </c>
      <c r="AU109">
        <v>76</v>
      </c>
      <c r="AV109">
        <v>3.16</v>
      </c>
      <c r="AW109" t="s">
        <v>86</v>
      </c>
      <c r="AX109" t="s">
        <v>115</v>
      </c>
    </row>
    <row r="110" spans="1:50">
      <c r="A110" t="s">
        <v>256</v>
      </c>
      <c r="B110">
        <v>43798</v>
      </c>
      <c r="C110">
        <v>72</v>
      </c>
      <c r="D110" t="s">
        <v>89</v>
      </c>
      <c r="E110">
        <v>28.6</v>
      </c>
      <c r="F110" t="s">
        <v>54</v>
      </c>
      <c r="G110" t="s">
        <v>55</v>
      </c>
      <c r="H110" t="s">
        <v>55</v>
      </c>
      <c r="I110" t="s">
        <v>55</v>
      </c>
      <c r="J110" t="s">
        <v>55</v>
      </c>
      <c r="K110" t="s">
        <v>55</v>
      </c>
      <c r="L110" t="s">
        <v>101</v>
      </c>
      <c r="M110" t="s">
        <v>129</v>
      </c>
      <c r="N110">
        <v>200</v>
      </c>
      <c r="O110">
        <v>91</v>
      </c>
      <c r="P110">
        <v>71</v>
      </c>
      <c r="Q110">
        <v>68</v>
      </c>
      <c r="R110">
        <v>96</v>
      </c>
      <c r="S110">
        <v>3</v>
      </c>
      <c r="T110">
        <v>2</v>
      </c>
      <c r="U110" t="s">
        <v>66</v>
      </c>
      <c r="V110" t="s">
        <v>60</v>
      </c>
      <c r="W110">
        <v>5.4279999999999999</v>
      </c>
      <c r="X110">
        <v>52</v>
      </c>
      <c r="Y110">
        <v>181</v>
      </c>
      <c r="Z110">
        <v>69</v>
      </c>
      <c r="AA110">
        <v>78</v>
      </c>
      <c r="AB110">
        <v>3.04</v>
      </c>
      <c r="AC110">
        <v>5.2</v>
      </c>
      <c r="AD110">
        <v>44</v>
      </c>
      <c r="AE110" t="s">
        <v>55</v>
      </c>
      <c r="AF110" t="s">
        <v>64</v>
      </c>
      <c r="AG110" t="s">
        <v>82</v>
      </c>
      <c r="AH110" t="s">
        <v>120</v>
      </c>
      <c r="AI110">
        <v>57</v>
      </c>
      <c r="AJ110" t="s">
        <v>55</v>
      </c>
      <c r="AK110" t="s">
        <v>55</v>
      </c>
      <c r="AL110" t="s">
        <v>56</v>
      </c>
      <c r="AM110" t="s">
        <v>105</v>
      </c>
      <c r="AN110" t="s">
        <v>56</v>
      </c>
      <c r="AO110">
        <v>10</v>
      </c>
      <c r="AP110" t="s">
        <v>184</v>
      </c>
      <c r="AQ110" t="s">
        <v>85</v>
      </c>
      <c r="AR110" t="s">
        <v>55</v>
      </c>
      <c r="AS110" t="s">
        <v>55</v>
      </c>
      <c r="AT110" t="s">
        <v>55</v>
      </c>
      <c r="AU110">
        <v>87</v>
      </c>
      <c r="AV110">
        <v>4.1100000000000003</v>
      </c>
      <c r="AW110" t="s">
        <v>135</v>
      </c>
      <c r="AX110" t="s">
        <v>69</v>
      </c>
    </row>
    <row r="111" spans="1:50">
      <c r="A111" t="s">
        <v>257</v>
      </c>
      <c r="B111">
        <v>43799</v>
      </c>
      <c r="C111">
        <v>46</v>
      </c>
      <c r="D111" t="s">
        <v>89</v>
      </c>
      <c r="E111">
        <v>24.8</v>
      </c>
      <c r="F111" t="s">
        <v>54</v>
      </c>
      <c r="G111" t="s">
        <v>55</v>
      </c>
      <c r="H111" t="s">
        <v>55</v>
      </c>
      <c r="I111" t="s">
        <v>55</v>
      </c>
      <c r="J111" t="s">
        <v>55</v>
      </c>
      <c r="K111" t="s">
        <v>55</v>
      </c>
      <c r="L111" t="s">
        <v>101</v>
      </c>
      <c r="M111" t="s">
        <v>129</v>
      </c>
      <c r="N111">
        <v>210</v>
      </c>
      <c r="O111">
        <v>145</v>
      </c>
      <c r="P111">
        <v>94</v>
      </c>
      <c r="Q111">
        <v>81</v>
      </c>
      <c r="R111">
        <v>92</v>
      </c>
      <c r="S111">
        <v>1</v>
      </c>
      <c r="T111">
        <v>3</v>
      </c>
      <c r="U111" t="s">
        <v>95</v>
      </c>
      <c r="V111" t="s">
        <v>74</v>
      </c>
      <c r="W111">
        <v>1.423</v>
      </c>
      <c r="X111">
        <v>192</v>
      </c>
      <c r="Y111">
        <v>352</v>
      </c>
      <c r="Z111">
        <v>98</v>
      </c>
      <c r="AA111">
        <v>99</v>
      </c>
      <c r="AB111">
        <v>3.75</v>
      </c>
      <c r="AC111">
        <v>5.5</v>
      </c>
      <c r="AD111">
        <v>61</v>
      </c>
      <c r="AE111" t="s">
        <v>55</v>
      </c>
      <c r="AF111" t="s">
        <v>64</v>
      </c>
      <c r="AG111" t="s">
        <v>97</v>
      </c>
      <c r="AH111" t="s">
        <v>98</v>
      </c>
      <c r="AI111">
        <v>86</v>
      </c>
      <c r="AJ111" t="s">
        <v>56</v>
      </c>
      <c r="AK111" t="s">
        <v>55</v>
      </c>
      <c r="AL111" t="s">
        <v>56</v>
      </c>
      <c r="AM111" t="s">
        <v>105</v>
      </c>
      <c r="AN111" t="s">
        <v>55</v>
      </c>
      <c r="AO111">
        <v>5</v>
      </c>
      <c r="AP111" t="s">
        <v>66</v>
      </c>
      <c r="AQ111" t="s">
        <v>85</v>
      </c>
      <c r="AR111" t="s">
        <v>55</v>
      </c>
      <c r="AS111" t="s">
        <v>55</v>
      </c>
      <c r="AT111" t="s">
        <v>55</v>
      </c>
      <c r="AU111">
        <v>100</v>
      </c>
      <c r="AV111">
        <v>1.27</v>
      </c>
      <c r="AW111" t="s">
        <v>68</v>
      </c>
      <c r="AX111" t="s">
        <v>69</v>
      </c>
    </row>
    <row r="112" spans="1:50">
      <c r="A112" t="s">
        <v>258</v>
      </c>
      <c r="B112">
        <v>43799</v>
      </c>
      <c r="C112">
        <v>58</v>
      </c>
      <c r="D112" t="s">
        <v>89</v>
      </c>
      <c r="E112">
        <v>25.1</v>
      </c>
      <c r="F112" t="s">
        <v>54</v>
      </c>
      <c r="G112" t="s">
        <v>55</v>
      </c>
      <c r="H112" t="s">
        <v>56</v>
      </c>
      <c r="I112" t="s">
        <v>55</v>
      </c>
      <c r="J112" t="s">
        <v>55</v>
      </c>
      <c r="K112" t="s">
        <v>55</v>
      </c>
      <c r="L112" t="s">
        <v>57</v>
      </c>
      <c r="M112" t="s">
        <v>156</v>
      </c>
      <c r="N112">
        <v>664</v>
      </c>
      <c r="O112">
        <v>131</v>
      </c>
      <c r="P112">
        <v>76</v>
      </c>
      <c r="Q112">
        <v>82</v>
      </c>
      <c r="R112">
        <v>88</v>
      </c>
      <c r="S112">
        <v>1</v>
      </c>
      <c r="T112">
        <v>4</v>
      </c>
      <c r="U112" t="s">
        <v>59</v>
      </c>
      <c r="V112" t="s">
        <v>74</v>
      </c>
      <c r="W112">
        <v>0.24199999999999999</v>
      </c>
      <c r="X112">
        <v>27</v>
      </c>
      <c r="Y112">
        <v>6064</v>
      </c>
      <c r="Z112">
        <v>99</v>
      </c>
      <c r="AA112">
        <v>85</v>
      </c>
      <c r="AB112">
        <v>3.02</v>
      </c>
      <c r="AC112">
        <v>5.4</v>
      </c>
      <c r="AD112">
        <v>47</v>
      </c>
      <c r="AE112" t="s">
        <v>56</v>
      </c>
      <c r="AF112" t="s">
        <v>61</v>
      </c>
      <c r="AG112" t="s">
        <v>62</v>
      </c>
      <c r="AH112" t="s">
        <v>63</v>
      </c>
      <c r="AI112" t="s">
        <v>64</v>
      </c>
      <c r="AJ112" t="s">
        <v>55</v>
      </c>
      <c r="AK112" t="s">
        <v>55</v>
      </c>
      <c r="AL112" t="s">
        <v>56</v>
      </c>
      <c r="AM112" t="s">
        <v>65</v>
      </c>
      <c r="AN112" t="s">
        <v>55</v>
      </c>
      <c r="AO112">
        <v>6</v>
      </c>
      <c r="AP112" t="s">
        <v>184</v>
      </c>
      <c r="AQ112" t="s">
        <v>67</v>
      </c>
      <c r="AR112" t="s">
        <v>56</v>
      </c>
      <c r="AS112" t="s">
        <v>55</v>
      </c>
      <c r="AT112" t="s">
        <v>56</v>
      </c>
      <c r="AU112">
        <v>97</v>
      </c>
      <c r="AV112">
        <v>1.46</v>
      </c>
      <c r="AW112" t="s">
        <v>68</v>
      </c>
      <c r="AX112" t="s">
        <v>69</v>
      </c>
    </row>
    <row r="113" spans="1:50">
      <c r="A113" t="s">
        <v>259</v>
      </c>
      <c r="B113">
        <v>43800</v>
      </c>
      <c r="C113">
        <v>71</v>
      </c>
      <c r="D113" t="s">
        <v>53</v>
      </c>
      <c r="E113">
        <v>23.1</v>
      </c>
      <c r="F113" t="s">
        <v>90</v>
      </c>
      <c r="G113" t="s">
        <v>56</v>
      </c>
      <c r="H113" t="s">
        <v>56</v>
      </c>
      <c r="I113" t="s">
        <v>55</v>
      </c>
      <c r="J113" t="s">
        <v>55</v>
      </c>
      <c r="K113" t="s">
        <v>55</v>
      </c>
      <c r="L113" t="s">
        <v>123</v>
      </c>
      <c r="M113" t="s">
        <v>217</v>
      </c>
      <c r="N113">
        <v>2821</v>
      </c>
      <c r="O113">
        <v>127</v>
      </c>
      <c r="P113">
        <v>108</v>
      </c>
      <c r="Q113">
        <v>65</v>
      </c>
      <c r="R113">
        <v>99</v>
      </c>
      <c r="S113">
        <v>1</v>
      </c>
      <c r="T113">
        <v>2</v>
      </c>
      <c r="U113" t="s">
        <v>73</v>
      </c>
      <c r="V113" t="s">
        <v>74</v>
      </c>
      <c r="W113">
        <v>4.5999999999999999E-2</v>
      </c>
      <c r="X113">
        <v>313</v>
      </c>
      <c r="Y113">
        <v>638</v>
      </c>
      <c r="Z113">
        <v>67</v>
      </c>
      <c r="AA113">
        <v>87</v>
      </c>
      <c r="AB113">
        <v>2.16</v>
      </c>
      <c r="AC113">
        <v>6.5</v>
      </c>
      <c r="AD113">
        <v>61</v>
      </c>
      <c r="AE113" t="s">
        <v>55</v>
      </c>
      <c r="AF113" t="s">
        <v>64</v>
      </c>
      <c r="AG113" t="s">
        <v>62</v>
      </c>
      <c r="AH113" t="s">
        <v>63</v>
      </c>
      <c r="AI113" t="s">
        <v>64</v>
      </c>
      <c r="AJ113" t="s">
        <v>55</v>
      </c>
      <c r="AK113" t="s">
        <v>55</v>
      </c>
      <c r="AL113" t="s">
        <v>56</v>
      </c>
      <c r="AM113" t="s">
        <v>125</v>
      </c>
      <c r="AN113" t="s">
        <v>55</v>
      </c>
      <c r="AO113">
        <v>2</v>
      </c>
      <c r="AP113" t="s">
        <v>171</v>
      </c>
      <c r="AQ113" t="s">
        <v>126</v>
      </c>
      <c r="AR113" t="s">
        <v>55</v>
      </c>
      <c r="AS113" t="s">
        <v>55</v>
      </c>
      <c r="AT113" t="s">
        <v>55</v>
      </c>
      <c r="AU113">
        <v>100</v>
      </c>
      <c r="AV113">
        <v>1.42</v>
      </c>
      <c r="AW113" t="s">
        <v>68</v>
      </c>
      <c r="AX113" t="s">
        <v>69</v>
      </c>
    </row>
    <row r="114" spans="1:50">
      <c r="A114" t="s">
        <v>260</v>
      </c>
      <c r="B114">
        <v>43800</v>
      </c>
      <c r="C114">
        <v>47</v>
      </c>
      <c r="D114" t="s">
        <v>53</v>
      </c>
      <c r="E114">
        <v>26.7</v>
      </c>
      <c r="F114" t="s">
        <v>54</v>
      </c>
      <c r="G114" t="s">
        <v>55</v>
      </c>
      <c r="H114" t="s">
        <v>55</v>
      </c>
      <c r="I114" t="s">
        <v>55</v>
      </c>
      <c r="J114" t="s">
        <v>55</v>
      </c>
      <c r="K114" t="s">
        <v>55</v>
      </c>
      <c r="L114" t="s">
        <v>57</v>
      </c>
      <c r="M114" t="s">
        <v>156</v>
      </c>
      <c r="N114">
        <v>1022</v>
      </c>
      <c r="O114">
        <v>149</v>
      </c>
      <c r="P114">
        <v>70</v>
      </c>
      <c r="Q114">
        <v>78</v>
      </c>
      <c r="R114">
        <v>92</v>
      </c>
      <c r="S114">
        <v>1</v>
      </c>
      <c r="T114">
        <v>3</v>
      </c>
      <c r="U114" t="s">
        <v>73</v>
      </c>
      <c r="V114" t="s">
        <v>91</v>
      </c>
      <c r="W114">
        <v>6.0999999999999999E-2</v>
      </c>
      <c r="X114">
        <v>1013</v>
      </c>
      <c r="Y114">
        <v>5855</v>
      </c>
      <c r="Z114">
        <v>83</v>
      </c>
      <c r="AA114">
        <v>106</v>
      </c>
      <c r="AB114">
        <v>3.06</v>
      </c>
      <c r="AC114">
        <v>6</v>
      </c>
      <c r="AD114">
        <v>65</v>
      </c>
      <c r="AE114" t="s">
        <v>56</v>
      </c>
      <c r="AF114" t="s">
        <v>229</v>
      </c>
      <c r="AG114" t="s">
        <v>62</v>
      </c>
      <c r="AH114" t="s">
        <v>63</v>
      </c>
      <c r="AI114" t="s">
        <v>64</v>
      </c>
      <c r="AJ114" t="s">
        <v>55</v>
      </c>
      <c r="AK114" t="s">
        <v>55</v>
      </c>
      <c r="AL114" t="s">
        <v>56</v>
      </c>
      <c r="AM114" t="s">
        <v>65</v>
      </c>
      <c r="AN114" t="s">
        <v>55</v>
      </c>
      <c r="AO114">
        <v>7</v>
      </c>
      <c r="AP114" t="s">
        <v>66</v>
      </c>
      <c r="AQ114" t="s">
        <v>67</v>
      </c>
      <c r="AR114" t="s">
        <v>55</v>
      </c>
      <c r="AS114" t="s">
        <v>55</v>
      </c>
      <c r="AT114" t="s">
        <v>55</v>
      </c>
      <c r="AU114">
        <v>86</v>
      </c>
      <c r="AV114">
        <v>0.94</v>
      </c>
      <c r="AW114" t="s">
        <v>68</v>
      </c>
      <c r="AX114" t="s">
        <v>69</v>
      </c>
    </row>
    <row r="115" spans="1:50">
      <c r="A115" t="s">
        <v>261</v>
      </c>
      <c r="B115">
        <v>43805</v>
      </c>
      <c r="C115">
        <v>59</v>
      </c>
      <c r="D115" t="s">
        <v>53</v>
      </c>
      <c r="E115">
        <v>27.7</v>
      </c>
      <c r="F115" t="s">
        <v>54</v>
      </c>
      <c r="G115" t="s">
        <v>55</v>
      </c>
      <c r="H115" t="s">
        <v>56</v>
      </c>
      <c r="I115" t="s">
        <v>55</v>
      </c>
      <c r="J115" t="s">
        <v>55</v>
      </c>
      <c r="K115" t="s">
        <v>55</v>
      </c>
      <c r="L115" t="s">
        <v>101</v>
      </c>
      <c r="M115" t="s">
        <v>129</v>
      </c>
      <c r="N115">
        <v>685</v>
      </c>
      <c r="O115">
        <v>144</v>
      </c>
      <c r="P115">
        <v>87</v>
      </c>
      <c r="Q115">
        <v>114</v>
      </c>
      <c r="R115">
        <v>92</v>
      </c>
      <c r="S115">
        <v>3</v>
      </c>
      <c r="T115">
        <v>2</v>
      </c>
      <c r="U115" t="s">
        <v>95</v>
      </c>
      <c r="V115" t="s">
        <v>91</v>
      </c>
      <c r="W115">
        <v>1.2170000000000001</v>
      </c>
      <c r="X115">
        <v>83</v>
      </c>
      <c r="Y115">
        <v>407</v>
      </c>
      <c r="Z115">
        <v>100</v>
      </c>
      <c r="AA115">
        <v>86</v>
      </c>
      <c r="AB115">
        <v>2.85</v>
      </c>
      <c r="AC115">
        <v>5.7</v>
      </c>
      <c r="AD115">
        <v>52</v>
      </c>
      <c r="AE115" t="s">
        <v>55</v>
      </c>
      <c r="AF115" t="s">
        <v>64</v>
      </c>
      <c r="AG115" t="s">
        <v>97</v>
      </c>
      <c r="AH115" t="s">
        <v>104</v>
      </c>
      <c r="AI115">
        <v>98</v>
      </c>
      <c r="AJ115" t="s">
        <v>56</v>
      </c>
      <c r="AK115" t="s">
        <v>55</v>
      </c>
      <c r="AL115" t="s">
        <v>56</v>
      </c>
      <c r="AM115" t="s">
        <v>105</v>
      </c>
      <c r="AN115" t="s">
        <v>56</v>
      </c>
      <c r="AO115">
        <v>9</v>
      </c>
      <c r="AP115" t="s">
        <v>114</v>
      </c>
      <c r="AQ115" t="s">
        <v>85</v>
      </c>
      <c r="AR115" t="s">
        <v>55</v>
      </c>
      <c r="AS115" t="s">
        <v>55</v>
      </c>
      <c r="AT115" t="s">
        <v>55</v>
      </c>
      <c r="AU115">
        <v>92</v>
      </c>
      <c r="AV115">
        <v>2.83</v>
      </c>
      <c r="AW115" t="s">
        <v>86</v>
      </c>
      <c r="AX115" t="s">
        <v>69</v>
      </c>
    </row>
    <row r="116" spans="1:50">
      <c r="A116" t="s">
        <v>262</v>
      </c>
      <c r="B116">
        <v>43808</v>
      </c>
      <c r="C116">
        <v>54</v>
      </c>
      <c r="D116" t="s">
        <v>53</v>
      </c>
      <c r="E116">
        <v>26.1</v>
      </c>
      <c r="F116" t="s">
        <v>54</v>
      </c>
      <c r="G116" t="s">
        <v>55</v>
      </c>
      <c r="H116" t="s">
        <v>56</v>
      </c>
      <c r="I116" t="s">
        <v>55</v>
      </c>
      <c r="J116" t="s">
        <v>55</v>
      </c>
      <c r="K116" t="s">
        <v>55</v>
      </c>
      <c r="L116" t="s">
        <v>80</v>
      </c>
      <c r="M116" t="s">
        <v>163</v>
      </c>
      <c r="N116">
        <v>184</v>
      </c>
      <c r="O116">
        <v>128</v>
      </c>
      <c r="P116">
        <v>79</v>
      </c>
      <c r="Q116">
        <v>110</v>
      </c>
      <c r="R116">
        <v>95</v>
      </c>
      <c r="S116">
        <v>1</v>
      </c>
      <c r="T116">
        <v>4</v>
      </c>
      <c r="U116" t="s">
        <v>95</v>
      </c>
      <c r="V116" t="s">
        <v>137</v>
      </c>
      <c r="W116">
        <v>7.0000000000000001E-3</v>
      </c>
      <c r="X116">
        <v>112</v>
      </c>
      <c r="Y116">
        <v>1905</v>
      </c>
      <c r="Z116">
        <v>45</v>
      </c>
      <c r="AA116">
        <v>102</v>
      </c>
      <c r="AB116">
        <v>1.78</v>
      </c>
      <c r="AC116">
        <v>5.2</v>
      </c>
      <c r="AD116">
        <v>54</v>
      </c>
      <c r="AE116" t="s">
        <v>55</v>
      </c>
      <c r="AF116" t="s">
        <v>64</v>
      </c>
      <c r="AG116" t="s">
        <v>103</v>
      </c>
      <c r="AH116" t="s">
        <v>146</v>
      </c>
      <c r="AI116">
        <v>72</v>
      </c>
      <c r="AJ116" t="s">
        <v>55</v>
      </c>
      <c r="AK116" t="s">
        <v>55</v>
      </c>
      <c r="AL116" t="s">
        <v>55</v>
      </c>
      <c r="AM116" t="s">
        <v>84</v>
      </c>
      <c r="AN116" t="s">
        <v>55</v>
      </c>
      <c r="AO116">
        <v>3</v>
      </c>
      <c r="AP116" t="s">
        <v>66</v>
      </c>
      <c r="AQ116" t="s">
        <v>85</v>
      </c>
      <c r="AR116" t="s">
        <v>55</v>
      </c>
      <c r="AS116" t="s">
        <v>55</v>
      </c>
      <c r="AT116" t="s">
        <v>55</v>
      </c>
      <c r="AU116">
        <v>92</v>
      </c>
      <c r="AV116">
        <v>1.08</v>
      </c>
      <c r="AW116" t="s">
        <v>68</v>
      </c>
      <c r="AX116" t="s">
        <v>69</v>
      </c>
    </row>
    <row r="117" spans="1:50">
      <c r="A117" t="s">
        <v>263</v>
      </c>
      <c r="B117">
        <v>43817</v>
      </c>
      <c r="C117">
        <v>62</v>
      </c>
      <c r="D117" t="s">
        <v>53</v>
      </c>
      <c r="E117">
        <v>21.8</v>
      </c>
      <c r="F117" t="s">
        <v>90</v>
      </c>
      <c r="G117" t="s">
        <v>55</v>
      </c>
      <c r="H117" t="s">
        <v>55</v>
      </c>
      <c r="I117" t="s">
        <v>55</v>
      </c>
      <c r="J117" t="s">
        <v>55</v>
      </c>
      <c r="K117" t="s">
        <v>55</v>
      </c>
      <c r="L117" t="s">
        <v>131</v>
      </c>
      <c r="M117" t="s">
        <v>169</v>
      </c>
      <c r="N117">
        <v>1220</v>
      </c>
      <c r="O117">
        <v>116</v>
      </c>
      <c r="P117">
        <v>77</v>
      </c>
      <c r="Q117">
        <v>121</v>
      </c>
      <c r="R117">
        <v>91</v>
      </c>
      <c r="S117">
        <v>1</v>
      </c>
      <c r="T117">
        <v>3</v>
      </c>
      <c r="U117" t="s">
        <v>59</v>
      </c>
      <c r="V117" t="s">
        <v>74</v>
      </c>
      <c r="W117">
        <v>3.1539999999999999</v>
      </c>
      <c r="X117">
        <v>727</v>
      </c>
      <c r="Y117">
        <v>387</v>
      </c>
      <c r="Z117">
        <v>82</v>
      </c>
      <c r="AA117">
        <v>84</v>
      </c>
      <c r="AB117">
        <v>3.27</v>
      </c>
      <c r="AC117">
        <v>5.7</v>
      </c>
      <c r="AD117">
        <v>31</v>
      </c>
      <c r="AE117" t="s">
        <v>55</v>
      </c>
      <c r="AF117" t="s">
        <v>64</v>
      </c>
      <c r="AG117" t="s">
        <v>97</v>
      </c>
      <c r="AH117" t="s">
        <v>120</v>
      </c>
      <c r="AI117">
        <v>69</v>
      </c>
      <c r="AJ117" t="s">
        <v>55</v>
      </c>
      <c r="AK117" t="s">
        <v>55</v>
      </c>
      <c r="AL117" t="s">
        <v>56</v>
      </c>
      <c r="AM117" t="s">
        <v>134</v>
      </c>
      <c r="AN117" t="s">
        <v>55</v>
      </c>
      <c r="AO117">
        <v>2</v>
      </c>
      <c r="AP117" t="s">
        <v>66</v>
      </c>
      <c r="AQ117" t="s">
        <v>85</v>
      </c>
      <c r="AR117" t="s">
        <v>55</v>
      </c>
      <c r="AS117" t="s">
        <v>55</v>
      </c>
      <c r="AT117" t="s">
        <v>55</v>
      </c>
      <c r="AU117">
        <v>96</v>
      </c>
      <c r="AV117">
        <v>2.0299999999999998</v>
      </c>
      <c r="AW117" t="s">
        <v>68</v>
      </c>
      <c r="AX117" t="s">
        <v>69</v>
      </c>
    </row>
    <row r="118" spans="1:50">
      <c r="A118" t="s">
        <v>264</v>
      </c>
      <c r="B118">
        <v>43822</v>
      </c>
      <c r="C118">
        <v>55</v>
      </c>
      <c r="D118" t="s">
        <v>53</v>
      </c>
      <c r="E118">
        <v>19.2</v>
      </c>
      <c r="F118" t="s">
        <v>54</v>
      </c>
      <c r="G118" t="s">
        <v>55</v>
      </c>
      <c r="H118" t="s">
        <v>55</v>
      </c>
      <c r="I118" t="s">
        <v>55</v>
      </c>
      <c r="J118" t="s">
        <v>55</v>
      </c>
      <c r="K118" t="s">
        <v>55</v>
      </c>
      <c r="L118" t="s">
        <v>131</v>
      </c>
      <c r="M118" t="s">
        <v>132</v>
      </c>
      <c r="N118">
        <v>301</v>
      </c>
      <c r="O118">
        <v>132</v>
      </c>
      <c r="P118">
        <v>97</v>
      </c>
      <c r="Q118">
        <v>95</v>
      </c>
      <c r="R118">
        <v>94</v>
      </c>
      <c r="S118">
        <v>2</v>
      </c>
      <c r="T118">
        <v>2</v>
      </c>
      <c r="U118" t="s">
        <v>95</v>
      </c>
      <c r="V118" t="s">
        <v>137</v>
      </c>
      <c r="W118">
        <v>38.332999999999998</v>
      </c>
      <c r="X118">
        <v>704</v>
      </c>
      <c r="Y118">
        <v>190</v>
      </c>
      <c r="Z118">
        <v>46</v>
      </c>
      <c r="AA118">
        <v>88</v>
      </c>
      <c r="AB118">
        <v>1.95</v>
      </c>
      <c r="AC118">
        <v>5.7</v>
      </c>
      <c r="AD118">
        <v>67</v>
      </c>
      <c r="AE118" t="s">
        <v>55</v>
      </c>
      <c r="AF118" t="s">
        <v>64</v>
      </c>
      <c r="AG118" t="s">
        <v>97</v>
      </c>
      <c r="AH118" t="s">
        <v>133</v>
      </c>
      <c r="AI118">
        <v>81</v>
      </c>
      <c r="AJ118" t="s">
        <v>56</v>
      </c>
      <c r="AK118" t="s">
        <v>56</v>
      </c>
      <c r="AL118" t="s">
        <v>56</v>
      </c>
      <c r="AM118" t="s">
        <v>134</v>
      </c>
      <c r="AN118" t="s">
        <v>55</v>
      </c>
      <c r="AO118">
        <v>1</v>
      </c>
      <c r="AP118" t="s">
        <v>66</v>
      </c>
      <c r="AQ118" t="s">
        <v>85</v>
      </c>
      <c r="AR118" t="s">
        <v>55</v>
      </c>
      <c r="AS118" t="s">
        <v>55</v>
      </c>
      <c r="AT118" t="s">
        <v>55</v>
      </c>
      <c r="AU118">
        <v>97</v>
      </c>
      <c r="AV118">
        <v>1.85</v>
      </c>
      <c r="AW118" t="s">
        <v>68</v>
      </c>
      <c r="AX118" t="s">
        <v>147</v>
      </c>
    </row>
    <row r="119" spans="1:50">
      <c r="A119" t="s">
        <v>265</v>
      </c>
      <c r="B119">
        <v>43826</v>
      </c>
      <c r="C119">
        <v>51</v>
      </c>
      <c r="D119" t="s">
        <v>53</v>
      </c>
      <c r="E119">
        <v>24.7</v>
      </c>
      <c r="F119" t="s">
        <v>54</v>
      </c>
      <c r="G119" t="s">
        <v>55</v>
      </c>
      <c r="H119" t="s">
        <v>55</v>
      </c>
      <c r="I119" t="s">
        <v>55</v>
      </c>
      <c r="J119" t="s">
        <v>55</v>
      </c>
      <c r="K119" t="s">
        <v>55</v>
      </c>
      <c r="L119" t="s">
        <v>101</v>
      </c>
      <c r="M119" t="s">
        <v>153</v>
      </c>
      <c r="N119">
        <v>786</v>
      </c>
      <c r="O119">
        <v>106</v>
      </c>
      <c r="P119">
        <v>93</v>
      </c>
      <c r="Q119">
        <v>69</v>
      </c>
      <c r="R119">
        <v>95</v>
      </c>
      <c r="S119">
        <v>1</v>
      </c>
      <c r="T119">
        <v>2</v>
      </c>
      <c r="U119" t="s">
        <v>73</v>
      </c>
      <c r="V119" t="s">
        <v>91</v>
      </c>
      <c r="W119">
        <v>13.661</v>
      </c>
      <c r="X119">
        <v>490</v>
      </c>
      <c r="Y119">
        <v>675</v>
      </c>
      <c r="Z119">
        <v>102</v>
      </c>
      <c r="AA119">
        <v>106</v>
      </c>
      <c r="AB119">
        <v>3.91</v>
      </c>
      <c r="AC119">
        <v>5.7</v>
      </c>
      <c r="AD119">
        <v>60</v>
      </c>
      <c r="AE119" t="s">
        <v>55</v>
      </c>
      <c r="AF119" t="s">
        <v>64</v>
      </c>
      <c r="AG119" t="s">
        <v>97</v>
      </c>
      <c r="AH119" t="s">
        <v>133</v>
      </c>
      <c r="AI119">
        <v>67</v>
      </c>
      <c r="AJ119" t="s">
        <v>55</v>
      </c>
      <c r="AK119" t="s">
        <v>55</v>
      </c>
      <c r="AL119" t="s">
        <v>56</v>
      </c>
      <c r="AM119" t="s">
        <v>105</v>
      </c>
      <c r="AN119" t="s">
        <v>55</v>
      </c>
      <c r="AO119">
        <v>6</v>
      </c>
      <c r="AP119" t="s">
        <v>66</v>
      </c>
      <c r="AQ119" t="s">
        <v>85</v>
      </c>
      <c r="AR119" t="s">
        <v>56</v>
      </c>
      <c r="AS119" t="s">
        <v>56</v>
      </c>
      <c r="AT119" t="s">
        <v>56</v>
      </c>
      <c r="AU119">
        <v>100</v>
      </c>
      <c r="AV119">
        <v>1.86</v>
      </c>
      <c r="AW119" t="s">
        <v>68</v>
      </c>
      <c r="AX119" t="s">
        <v>69</v>
      </c>
    </row>
    <row r="120" spans="1:50">
      <c r="A120" t="s">
        <v>266</v>
      </c>
      <c r="B120">
        <v>43828</v>
      </c>
      <c r="C120">
        <v>71</v>
      </c>
      <c r="D120" t="s">
        <v>53</v>
      </c>
      <c r="E120">
        <v>31.3</v>
      </c>
      <c r="F120" t="s">
        <v>54</v>
      </c>
      <c r="G120" t="s">
        <v>55</v>
      </c>
      <c r="H120" t="s">
        <v>56</v>
      </c>
      <c r="I120" t="s">
        <v>55</v>
      </c>
      <c r="J120" t="s">
        <v>56</v>
      </c>
      <c r="K120" t="s">
        <v>56</v>
      </c>
      <c r="L120" t="s">
        <v>101</v>
      </c>
      <c r="M120" t="s">
        <v>153</v>
      </c>
      <c r="N120">
        <v>804</v>
      </c>
      <c r="O120">
        <v>84</v>
      </c>
      <c r="P120">
        <v>65</v>
      </c>
      <c r="Q120">
        <v>75</v>
      </c>
      <c r="R120">
        <v>98</v>
      </c>
      <c r="S120">
        <v>1</v>
      </c>
      <c r="T120">
        <v>1</v>
      </c>
      <c r="U120" t="s">
        <v>95</v>
      </c>
      <c r="V120" t="s">
        <v>60</v>
      </c>
      <c r="W120">
        <v>5.1040000000000001</v>
      </c>
      <c r="X120">
        <v>34</v>
      </c>
      <c r="Y120">
        <v>359</v>
      </c>
      <c r="Z120">
        <v>66</v>
      </c>
      <c r="AA120">
        <v>95</v>
      </c>
      <c r="AB120">
        <v>3.15</v>
      </c>
      <c r="AC120">
        <v>6.3</v>
      </c>
      <c r="AD120">
        <v>38</v>
      </c>
      <c r="AE120" t="s">
        <v>55</v>
      </c>
      <c r="AF120" t="s">
        <v>64</v>
      </c>
      <c r="AG120" t="s">
        <v>82</v>
      </c>
      <c r="AH120" t="s">
        <v>120</v>
      </c>
      <c r="AI120">
        <v>83</v>
      </c>
      <c r="AJ120" t="s">
        <v>55</v>
      </c>
      <c r="AK120" t="s">
        <v>55</v>
      </c>
      <c r="AL120" t="s">
        <v>56</v>
      </c>
      <c r="AM120" t="s">
        <v>105</v>
      </c>
      <c r="AN120" t="s">
        <v>56</v>
      </c>
      <c r="AO120">
        <v>6</v>
      </c>
      <c r="AP120" t="s">
        <v>66</v>
      </c>
      <c r="AQ120" t="s">
        <v>85</v>
      </c>
      <c r="AR120" t="s">
        <v>55</v>
      </c>
      <c r="AS120" t="s">
        <v>56</v>
      </c>
      <c r="AT120" t="s">
        <v>56</v>
      </c>
      <c r="AU120">
        <v>99</v>
      </c>
      <c r="AV120">
        <v>3.53</v>
      </c>
      <c r="AW120" t="s">
        <v>86</v>
      </c>
      <c r="AX120" t="s">
        <v>69</v>
      </c>
    </row>
    <row r="121" spans="1:50">
      <c r="A121" t="s">
        <v>267</v>
      </c>
      <c r="B121">
        <v>43829</v>
      </c>
      <c r="C121">
        <v>79</v>
      </c>
      <c r="D121" t="s">
        <v>53</v>
      </c>
      <c r="E121">
        <v>28.3</v>
      </c>
      <c r="F121" t="s">
        <v>90</v>
      </c>
      <c r="G121" t="s">
        <v>56</v>
      </c>
      <c r="H121" t="s">
        <v>55</v>
      </c>
      <c r="I121" t="s">
        <v>55</v>
      </c>
      <c r="J121" t="s">
        <v>56</v>
      </c>
      <c r="K121" t="s">
        <v>55</v>
      </c>
      <c r="L121" t="s">
        <v>159</v>
      </c>
      <c r="M121" t="s">
        <v>177</v>
      </c>
      <c r="N121">
        <v>2560</v>
      </c>
      <c r="O121">
        <v>100</v>
      </c>
      <c r="P121">
        <v>84</v>
      </c>
      <c r="Q121">
        <v>139</v>
      </c>
      <c r="R121">
        <v>96</v>
      </c>
      <c r="S121">
        <v>1</v>
      </c>
      <c r="T121">
        <v>3</v>
      </c>
      <c r="U121" t="s">
        <v>66</v>
      </c>
      <c r="V121" t="s">
        <v>91</v>
      </c>
      <c r="W121">
        <v>4.0000000000000001E-3</v>
      </c>
      <c r="X121">
        <v>761</v>
      </c>
      <c r="Y121">
        <v>234</v>
      </c>
      <c r="Z121">
        <v>69</v>
      </c>
      <c r="AA121">
        <v>84</v>
      </c>
      <c r="AB121">
        <v>4.3</v>
      </c>
      <c r="AC121">
        <v>7.1</v>
      </c>
      <c r="AD121">
        <v>54</v>
      </c>
      <c r="AE121" t="s">
        <v>55</v>
      </c>
      <c r="AF121" t="s">
        <v>64</v>
      </c>
      <c r="AG121" t="s">
        <v>82</v>
      </c>
      <c r="AH121" t="s">
        <v>104</v>
      </c>
      <c r="AI121">
        <v>84</v>
      </c>
      <c r="AJ121" t="s">
        <v>56</v>
      </c>
      <c r="AK121" t="s">
        <v>55</v>
      </c>
      <c r="AL121" t="s">
        <v>55</v>
      </c>
      <c r="AM121" t="s">
        <v>161</v>
      </c>
      <c r="AN121" t="s">
        <v>55</v>
      </c>
      <c r="AO121">
        <v>1</v>
      </c>
      <c r="AP121" t="s">
        <v>66</v>
      </c>
      <c r="AQ121" t="s">
        <v>76</v>
      </c>
      <c r="AR121" t="s">
        <v>55</v>
      </c>
      <c r="AS121" t="s">
        <v>55</v>
      </c>
      <c r="AT121" t="s">
        <v>55</v>
      </c>
      <c r="AU121">
        <v>100</v>
      </c>
      <c r="AV121">
        <v>2.2799999999999998</v>
      </c>
      <c r="AW121" t="s">
        <v>86</v>
      </c>
      <c r="AX121" t="s">
        <v>69</v>
      </c>
    </row>
  </sheetData>
  <conditionalFormatting sqref="AO2:AO121">
    <cfRule type="expression" dxfId="2" priority="4">
      <formula>AO2="Yes"</formula>
    </cfRule>
  </conditionalFormatting>
  <conditionalFormatting sqref="AV2:AV12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AW2:AW121">
    <cfRule type="expression" dxfId="1" priority="2">
      <formula>AW2="High"</formula>
    </cfRule>
  </conditionalFormatting>
  <conditionalFormatting sqref="AX2:AX121">
    <cfRule type="expression" dxfId="0" priority="3">
      <formula>AX2&lt;&gt;"OK"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'Lookup Lists'!$A$2:$A$3</xm:f>
          </x14:formula1>
          <xm:sqref>D2:D121</xm:sqref>
        </x14:dataValidation>
        <x14:dataValidation type="list" xr:uid="{00000000-0002-0000-0000-000001000000}">
          <x14:formula1>
            <xm:f>'Lookup Lists'!$B$2:$B$3</xm:f>
          </x14:formula1>
          <xm:sqref>G2:J121</xm:sqref>
        </x14:dataValidation>
        <x14:dataValidation type="list" xr:uid="{00000000-0002-0000-0000-000002000000}">
          <x14:formula1>
            <xm:f>'Lookup Lists'!$C$2:$C$4</xm:f>
          </x14:formula1>
          <xm:sqref>AW2:AW121</xm:sqref>
        </x14:dataValidation>
        <x14:dataValidation type="list" xr:uid="{00000000-0002-0000-0000-000003000000}">
          <x14:formula1>
            <xm:f>'Lookup Lists'!$D$2:$D$4</xm:f>
          </x14:formula1>
          <xm:sqref>F2:F121</xm:sqref>
        </x14:dataValidation>
        <x14:dataValidation type="list" xr:uid="{00000000-0002-0000-0000-000004000000}">
          <x14:formula1>
            <xm:f>'Lookup Lists'!$E$2:$E$9</xm:f>
          </x14:formula1>
          <xm:sqref>L2:L121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/>
  </sheetViews>
  <sheetFormatPr baseColWidth="10" defaultColWidth="8.83203125" defaultRowHeight="15"/>
  <cols>
    <col min="1" max="1" width="21.33203125" customWidth="1"/>
    <col min="2" max="2" width="60" customWidth="1"/>
    <col min="3" max="3" width="36" customWidth="1"/>
  </cols>
  <sheetData>
    <row r="1" spans="1:3" ht="16">
      <c r="A1" s="2" t="s">
        <v>268</v>
      </c>
      <c r="B1" s="2" t="s">
        <v>269</v>
      </c>
      <c r="C1" s="2" t="s">
        <v>270</v>
      </c>
    </row>
    <row r="2" spans="1:3">
      <c r="A2" t="s">
        <v>0</v>
      </c>
      <c r="B2" t="s">
        <v>271</v>
      </c>
      <c r="C2" t="s">
        <v>186</v>
      </c>
    </row>
    <row r="3" spans="1:3">
      <c r="A3" t="s">
        <v>1</v>
      </c>
      <c r="B3" t="s">
        <v>272</v>
      </c>
      <c r="C3" t="s">
        <v>273</v>
      </c>
    </row>
    <row r="4" spans="1:3">
      <c r="A4" t="s">
        <v>2</v>
      </c>
      <c r="B4" t="s">
        <v>274</v>
      </c>
      <c r="C4" t="s">
        <v>275</v>
      </c>
    </row>
    <row r="5" spans="1:3">
      <c r="A5" t="s">
        <v>3</v>
      </c>
      <c r="B5" t="s">
        <v>274</v>
      </c>
      <c r="C5" t="s">
        <v>275</v>
      </c>
    </row>
    <row r="6" spans="1:3">
      <c r="A6" t="s">
        <v>4</v>
      </c>
      <c r="B6" t="s">
        <v>274</v>
      </c>
      <c r="C6" t="s">
        <v>275</v>
      </c>
    </row>
    <row r="7" spans="1:3">
      <c r="A7" t="s">
        <v>5</v>
      </c>
      <c r="B7" t="s">
        <v>274</v>
      </c>
      <c r="C7" t="s">
        <v>275</v>
      </c>
    </row>
    <row r="8" spans="1:3">
      <c r="A8" t="s">
        <v>6</v>
      </c>
      <c r="B8" t="s">
        <v>274</v>
      </c>
      <c r="C8" t="s">
        <v>275</v>
      </c>
    </row>
    <row r="9" spans="1:3">
      <c r="A9" t="s">
        <v>7</v>
      </c>
      <c r="B9" t="s">
        <v>274</v>
      </c>
      <c r="C9" t="s">
        <v>275</v>
      </c>
    </row>
    <row r="10" spans="1:3">
      <c r="A10" t="s">
        <v>8</v>
      </c>
      <c r="B10" t="s">
        <v>274</v>
      </c>
      <c r="C10" t="s">
        <v>275</v>
      </c>
    </row>
    <row r="11" spans="1:3">
      <c r="A11" t="s">
        <v>9</v>
      </c>
      <c r="B11" t="s">
        <v>274</v>
      </c>
      <c r="C11" t="s">
        <v>275</v>
      </c>
    </row>
    <row r="12" spans="1:3">
      <c r="A12" t="s">
        <v>10</v>
      </c>
      <c r="B12" t="s">
        <v>274</v>
      </c>
      <c r="C12" t="s">
        <v>275</v>
      </c>
    </row>
    <row r="13" spans="1:3">
      <c r="A13" t="s">
        <v>11</v>
      </c>
      <c r="B13" t="s">
        <v>274</v>
      </c>
      <c r="C13" t="s">
        <v>275</v>
      </c>
    </row>
    <row r="14" spans="1:3">
      <c r="A14" t="s">
        <v>12</v>
      </c>
      <c r="B14" t="s">
        <v>276</v>
      </c>
      <c r="C14" t="s">
        <v>277</v>
      </c>
    </row>
    <row r="15" spans="1:3">
      <c r="A15" t="s">
        <v>13</v>
      </c>
      <c r="B15" t="s">
        <v>274</v>
      </c>
      <c r="C15" t="s">
        <v>275</v>
      </c>
    </row>
    <row r="16" spans="1:3">
      <c r="A16" t="s">
        <v>14</v>
      </c>
      <c r="B16" t="s">
        <v>274</v>
      </c>
      <c r="C16" t="s">
        <v>275</v>
      </c>
    </row>
    <row r="17" spans="1:3">
      <c r="A17" t="s">
        <v>15</v>
      </c>
      <c r="B17" t="s">
        <v>274</v>
      </c>
      <c r="C17" t="s">
        <v>275</v>
      </c>
    </row>
    <row r="18" spans="1:3">
      <c r="A18" t="s">
        <v>16</v>
      </c>
      <c r="B18" t="s">
        <v>274</v>
      </c>
      <c r="C18" t="s">
        <v>275</v>
      </c>
    </row>
    <row r="19" spans="1:3">
      <c r="A19" t="s">
        <v>17</v>
      </c>
      <c r="B19" t="s">
        <v>274</v>
      </c>
      <c r="C19" t="s">
        <v>275</v>
      </c>
    </row>
    <row r="20" spans="1:3">
      <c r="A20" t="s">
        <v>18</v>
      </c>
      <c r="B20" t="s">
        <v>274</v>
      </c>
      <c r="C20" t="s">
        <v>275</v>
      </c>
    </row>
    <row r="21" spans="1:3">
      <c r="A21" t="s">
        <v>19</v>
      </c>
      <c r="B21" t="s">
        <v>274</v>
      </c>
      <c r="C21" t="s">
        <v>275</v>
      </c>
    </row>
    <row r="22" spans="1:3">
      <c r="A22" t="s">
        <v>20</v>
      </c>
      <c r="B22" t="s">
        <v>274</v>
      </c>
      <c r="C22" t="s">
        <v>275</v>
      </c>
    </row>
    <row r="23" spans="1:3">
      <c r="A23" t="s">
        <v>21</v>
      </c>
      <c r="B23" t="s">
        <v>274</v>
      </c>
      <c r="C23" t="s">
        <v>275</v>
      </c>
    </row>
    <row r="24" spans="1:3">
      <c r="A24" t="s">
        <v>22</v>
      </c>
      <c r="B24" t="s">
        <v>274</v>
      </c>
      <c r="C24" t="s">
        <v>275</v>
      </c>
    </row>
    <row r="25" spans="1:3">
      <c r="A25" t="s">
        <v>23</v>
      </c>
      <c r="B25" t="s">
        <v>274</v>
      </c>
      <c r="C25" t="s">
        <v>275</v>
      </c>
    </row>
    <row r="26" spans="1:3">
      <c r="A26" t="s">
        <v>24</v>
      </c>
      <c r="B26" t="s">
        <v>274</v>
      </c>
      <c r="C26" t="s">
        <v>275</v>
      </c>
    </row>
    <row r="27" spans="1:3">
      <c r="A27" t="s">
        <v>25</v>
      </c>
      <c r="B27" t="s">
        <v>274</v>
      </c>
      <c r="C27" t="s">
        <v>275</v>
      </c>
    </row>
    <row r="28" spans="1:3">
      <c r="A28" t="s">
        <v>26</v>
      </c>
      <c r="B28" t="s">
        <v>274</v>
      </c>
      <c r="C28" t="s">
        <v>275</v>
      </c>
    </row>
    <row r="29" spans="1:3">
      <c r="A29" t="s">
        <v>27</v>
      </c>
      <c r="B29" t="s">
        <v>274</v>
      </c>
      <c r="C29" t="s">
        <v>275</v>
      </c>
    </row>
    <row r="30" spans="1:3">
      <c r="A30" t="s">
        <v>28</v>
      </c>
      <c r="B30" t="s">
        <v>274</v>
      </c>
      <c r="C30" t="s">
        <v>275</v>
      </c>
    </row>
    <row r="31" spans="1:3">
      <c r="A31" t="s">
        <v>29</v>
      </c>
      <c r="B31" t="s">
        <v>274</v>
      </c>
      <c r="C31" t="s">
        <v>275</v>
      </c>
    </row>
    <row r="32" spans="1:3">
      <c r="A32" t="s">
        <v>30</v>
      </c>
      <c r="B32" t="s">
        <v>274</v>
      </c>
      <c r="C32" t="s">
        <v>275</v>
      </c>
    </row>
    <row r="33" spans="1:3">
      <c r="A33" t="s">
        <v>31</v>
      </c>
      <c r="B33" t="s">
        <v>274</v>
      </c>
      <c r="C33" t="s">
        <v>275</v>
      </c>
    </row>
    <row r="34" spans="1:3">
      <c r="A34" t="s">
        <v>32</v>
      </c>
      <c r="B34" t="s">
        <v>274</v>
      </c>
      <c r="C34" t="s">
        <v>275</v>
      </c>
    </row>
    <row r="35" spans="1:3">
      <c r="A35" t="s">
        <v>33</v>
      </c>
      <c r="B35" t="s">
        <v>274</v>
      </c>
      <c r="C35" t="s">
        <v>275</v>
      </c>
    </row>
    <row r="36" spans="1:3">
      <c r="A36" t="s">
        <v>34</v>
      </c>
      <c r="B36" t="s">
        <v>274</v>
      </c>
      <c r="C36" t="s">
        <v>275</v>
      </c>
    </row>
    <row r="37" spans="1:3">
      <c r="A37" t="s">
        <v>35</v>
      </c>
      <c r="B37" t="s">
        <v>274</v>
      </c>
      <c r="C37" t="s">
        <v>275</v>
      </c>
    </row>
    <row r="38" spans="1:3">
      <c r="A38" t="s">
        <v>36</v>
      </c>
      <c r="B38" t="s">
        <v>274</v>
      </c>
      <c r="C38" t="s">
        <v>275</v>
      </c>
    </row>
    <row r="39" spans="1:3">
      <c r="A39" t="s">
        <v>37</v>
      </c>
      <c r="B39" t="s">
        <v>274</v>
      </c>
      <c r="C39" t="s">
        <v>275</v>
      </c>
    </row>
    <row r="40" spans="1:3">
      <c r="A40" t="s">
        <v>38</v>
      </c>
      <c r="B40" t="s">
        <v>274</v>
      </c>
      <c r="C40" t="s">
        <v>275</v>
      </c>
    </row>
    <row r="41" spans="1:3">
      <c r="A41" t="s">
        <v>39</v>
      </c>
      <c r="B41" t="s">
        <v>274</v>
      </c>
      <c r="C41" t="s">
        <v>275</v>
      </c>
    </row>
    <row r="42" spans="1:3">
      <c r="A42" t="s">
        <v>40</v>
      </c>
      <c r="B42" t="s">
        <v>274</v>
      </c>
      <c r="C42" t="s">
        <v>275</v>
      </c>
    </row>
    <row r="43" spans="1:3">
      <c r="A43" t="s">
        <v>41</v>
      </c>
      <c r="B43" t="s">
        <v>274</v>
      </c>
      <c r="C43" t="s">
        <v>275</v>
      </c>
    </row>
    <row r="44" spans="1:3">
      <c r="A44" t="s">
        <v>42</v>
      </c>
      <c r="B44" t="s">
        <v>274</v>
      </c>
      <c r="C44" t="s">
        <v>275</v>
      </c>
    </row>
    <row r="45" spans="1:3">
      <c r="A45" t="s">
        <v>43</v>
      </c>
      <c r="B45" t="s">
        <v>274</v>
      </c>
      <c r="C45" t="s">
        <v>275</v>
      </c>
    </row>
    <row r="46" spans="1:3">
      <c r="A46" t="s">
        <v>44</v>
      </c>
      <c r="B46" t="s">
        <v>274</v>
      </c>
      <c r="C46" t="s">
        <v>275</v>
      </c>
    </row>
    <row r="47" spans="1:3">
      <c r="A47" t="s">
        <v>45</v>
      </c>
      <c r="B47" t="s">
        <v>274</v>
      </c>
      <c r="C47" t="s">
        <v>275</v>
      </c>
    </row>
    <row r="48" spans="1:3">
      <c r="A48" t="s">
        <v>46</v>
      </c>
      <c r="B48" t="s">
        <v>278</v>
      </c>
      <c r="C48" t="s">
        <v>279</v>
      </c>
    </row>
    <row r="49" spans="1:3">
      <c r="A49" t="s">
        <v>47</v>
      </c>
      <c r="B49" t="s">
        <v>280</v>
      </c>
      <c r="C49" t="s">
        <v>281</v>
      </c>
    </row>
    <row r="50" spans="1:3">
      <c r="A50" t="s">
        <v>48</v>
      </c>
      <c r="B50" t="s">
        <v>282</v>
      </c>
      <c r="C50" t="s">
        <v>283</v>
      </c>
    </row>
    <row r="51" spans="1:3">
      <c r="A51" t="s">
        <v>49</v>
      </c>
      <c r="B51" t="s">
        <v>274</v>
      </c>
      <c r="C51" t="s">
        <v>275</v>
      </c>
    </row>
    <row r="52" spans="1:3">
      <c r="A52" t="s">
        <v>50</v>
      </c>
      <c r="B52" t="s">
        <v>284</v>
      </c>
      <c r="C52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baseColWidth="10" defaultColWidth="8.83203125" defaultRowHeight="15"/>
  <cols>
    <col min="1" max="1" width="28" customWidth="1"/>
    <col min="2" max="2" width="5.33203125" customWidth="1"/>
  </cols>
  <sheetData>
    <row r="1" spans="1:2" ht="21">
      <c r="A1" s="6" t="s">
        <v>286</v>
      </c>
    </row>
    <row r="2" spans="1:2">
      <c r="A2" s="1" t="s">
        <v>287</v>
      </c>
      <c r="B2" s="1" t="s">
        <v>288</v>
      </c>
    </row>
    <row r="3" spans="1:2">
      <c r="A3" t="s">
        <v>289</v>
      </c>
      <c r="B3">
        <f>COUNTA('2019 Cardio Registry'!A2:A121)</f>
        <v>120</v>
      </c>
    </row>
    <row r="4" spans="1:2">
      <c r="A4" t="s">
        <v>290</v>
      </c>
      <c r="B4">
        <f>AVERAGE('2019 Cardio Registry'!C2:C121)</f>
        <v>57.475000000000001</v>
      </c>
    </row>
    <row r="5" spans="1:2">
      <c r="A5" t="s">
        <v>291</v>
      </c>
      <c r="B5" s="8">
        <f>COUNTIF('2019 Cardio Registry'!AO2:AO121,"Yes")/COUNTA('2019 Cardio Registry'!A2:A121)</f>
        <v>0</v>
      </c>
    </row>
    <row r="6" spans="1:2">
      <c r="A6" t="s">
        <v>292</v>
      </c>
      <c r="B6" s="8">
        <f>COUNTIF('2019 Cardio Registry'!AR2:AR121,"Yes")/COUNTA('2019 Cardio Registry'!A2:A121)</f>
        <v>0.13333333333333333</v>
      </c>
    </row>
    <row r="7" spans="1:2">
      <c r="A7" t="s">
        <v>293</v>
      </c>
      <c r="B7" s="8">
        <f>COUNTIF('2019 Cardio Registry'!AS2:AS121,"Yes")/COUNTA('2019 Cardio Registry'!A2:A121)</f>
        <v>8.3333333333333329E-2</v>
      </c>
    </row>
    <row r="8" spans="1:2">
      <c r="A8" t="s">
        <v>294</v>
      </c>
      <c r="B8" s="8">
        <f>COUNTIF('2019 Cardio Registry'!AT2:AT121,"Yes")/COUNTA('2019 Cardio Registry'!A2:A121)</f>
        <v>0.27500000000000002</v>
      </c>
    </row>
    <row r="9" spans="1:2">
      <c r="A9" t="s">
        <v>295</v>
      </c>
      <c r="B9">
        <f>COUNTIF('2019 Cardio Registry'!AW2:AW121,"High")</f>
        <v>4</v>
      </c>
    </row>
    <row r="10" spans="1:2">
      <c r="A10" t="s">
        <v>296</v>
      </c>
      <c r="B10">
        <f>COUNTIF('2019 Cardio Registry'!AX2:AX121,"&lt;&gt;OK")</f>
        <v>19</v>
      </c>
    </row>
    <row r="12" spans="1:2">
      <c r="A12" s="1" t="s">
        <v>12</v>
      </c>
      <c r="B12" s="1" t="s">
        <v>297</v>
      </c>
    </row>
    <row r="13" spans="1:2">
      <c r="A13" t="s">
        <v>131</v>
      </c>
      <c r="B13">
        <f>COUNTIF('2019 Cardio Registry'!$L$2:$L$121,A13)</f>
        <v>21</v>
      </c>
    </row>
    <row r="14" spans="1:2">
      <c r="A14" t="s">
        <v>101</v>
      </c>
      <c r="B14">
        <f>COUNTIF('2019 Cardio Registry'!$L$2:$L$121,A14)</f>
        <v>24</v>
      </c>
    </row>
    <row r="15" spans="1:2">
      <c r="A15" t="s">
        <v>80</v>
      </c>
      <c r="B15">
        <f>COUNTIF('2019 Cardio Registry'!$L$2:$L$121,A15)</f>
        <v>17</v>
      </c>
    </row>
    <row r="16" spans="1:2">
      <c r="A16" t="s">
        <v>108</v>
      </c>
      <c r="B16">
        <f>COUNTIF('2019 Cardio Registry'!$L$2:$L$121,A16)</f>
        <v>14</v>
      </c>
    </row>
    <row r="17" spans="1:2">
      <c r="A17" t="s">
        <v>57</v>
      </c>
      <c r="B17">
        <f>COUNTIF('2019 Cardio Registry'!$L$2:$L$121,A17)</f>
        <v>13</v>
      </c>
    </row>
    <row r="18" spans="1:2">
      <c r="A18" t="s">
        <v>123</v>
      </c>
      <c r="B18">
        <f>COUNTIF('2019 Cardio Registry'!$L$2:$L$121,A18)</f>
        <v>14</v>
      </c>
    </row>
    <row r="19" spans="1:2">
      <c r="A19" t="s">
        <v>71</v>
      </c>
      <c r="B19">
        <f>COUNTIF('2019 Cardio Registry'!$L$2:$L$121,A19)</f>
        <v>6</v>
      </c>
    </row>
    <row r="20" spans="1:2">
      <c r="A20" t="s">
        <v>159</v>
      </c>
      <c r="B20">
        <f>COUNTIF('2019 Cardio Registry'!$L$2:$L$121,A20)</f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baseColWidth="10" defaultColWidth="8.83203125" defaultRowHeight="15"/>
  <cols>
    <col min="1" max="1" width="110" customWidth="1"/>
  </cols>
  <sheetData>
    <row r="1" spans="1:1" ht="22">
      <c r="A1" s="7" t="s">
        <v>298</v>
      </c>
    </row>
    <row r="2" spans="1:1">
      <c r="A2" t="s">
        <v>299</v>
      </c>
    </row>
    <row r="3" spans="1:1">
      <c r="A3" t="s">
        <v>300</v>
      </c>
    </row>
    <row r="4" spans="1:1">
      <c r="A4" t="s">
        <v>301</v>
      </c>
    </row>
    <row r="5" spans="1:1">
      <c r="A5" t="s">
        <v>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baseColWidth="10" defaultColWidth="8.83203125" defaultRowHeight="15"/>
  <cols>
    <col min="1" max="1" width="5.83203125" customWidth="1"/>
    <col min="2" max="2" width="5" customWidth="1"/>
    <col min="3" max="3" width="11.5" customWidth="1"/>
    <col min="4" max="4" width="13" customWidth="1"/>
    <col min="5" max="5" width="23.83203125" customWidth="1"/>
    <col min="6" max="6" width="14.1640625" customWidth="1"/>
  </cols>
  <sheetData>
    <row r="1" spans="1:6">
      <c r="A1" s="5" t="s">
        <v>4</v>
      </c>
      <c r="B1" s="5" t="s">
        <v>303</v>
      </c>
      <c r="C1" s="5" t="s">
        <v>49</v>
      </c>
      <c r="D1" s="5" t="s">
        <v>6</v>
      </c>
      <c r="E1" s="5" t="s">
        <v>12</v>
      </c>
      <c r="F1" s="5" t="s">
        <v>304</v>
      </c>
    </row>
    <row r="2" spans="1:6">
      <c r="A2" t="s">
        <v>89</v>
      </c>
      <c r="B2" t="s">
        <v>56</v>
      </c>
      <c r="C2" t="s">
        <v>68</v>
      </c>
      <c r="D2" t="s">
        <v>54</v>
      </c>
      <c r="E2" t="s">
        <v>131</v>
      </c>
      <c r="F2" t="s">
        <v>93</v>
      </c>
    </row>
    <row r="3" spans="1:6">
      <c r="A3" t="s">
        <v>53</v>
      </c>
      <c r="B3" t="s">
        <v>55</v>
      </c>
      <c r="C3" t="s">
        <v>86</v>
      </c>
      <c r="D3" t="s">
        <v>79</v>
      </c>
      <c r="E3" t="s">
        <v>101</v>
      </c>
      <c r="F3" t="s">
        <v>88</v>
      </c>
    </row>
    <row r="4" spans="1:6">
      <c r="C4" t="s">
        <v>135</v>
      </c>
      <c r="D4" t="s">
        <v>90</v>
      </c>
      <c r="E4" t="s">
        <v>80</v>
      </c>
      <c r="F4" t="s">
        <v>119</v>
      </c>
    </row>
    <row r="5" spans="1:6">
      <c r="E5" t="s">
        <v>108</v>
      </c>
      <c r="F5" t="s">
        <v>78</v>
      </c>
    </row>
    <row r="6" spans="1:6">
      <c r="E6" t="s">
        <v>57</v>
      </c>
      <c r="F6" t="s">
        <v>52</v>
      </c>
    </row>
    <row r="7" spans="1:6">
      <c r="E7" t="s">
        <v>123</v>
      </c>
    </row>
    <row r="8" spans="1:6">
      <c r="E8" t="s">
        <v>71</v>
      </c>
    </row>
    <row r="9" spans="1:6">
      <c r="E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2019 Cardio Registry</vt:lpstr>
      <vt:lpstr>Data Dictionary</vt:lpstr>
      <vt:lpstr>Summary</vt:lpstr>
      <vt:lpstr>README</vt:lpstr>
      <vt:lpstr>Lookup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Jihan Fitria</cp:lastModifiedBy>
  <dcterms:created xsi:type="dcterms:W3CDTF">2026-05-20T02:50:07Z</dcterms:created>
  <dcterms:modified xsi:type="dcterms:W3CDTF">2026-05-20T02:50:07Z</dcterms:modified>
</cp:coreProperties>
</file>