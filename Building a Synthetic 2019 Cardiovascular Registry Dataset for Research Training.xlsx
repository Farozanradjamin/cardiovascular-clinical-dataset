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73BFED61-27D4-B545-AE6A-6E86232FF0A6}" xr6:coauthVersionLast="47" xr6:coauthVersionMax="47" xr10:uidLastSave="{00000000-0000-0000-0000-000000000000}"/>
  <bookViews>
    <workbookView xWindow="0" yWindow="500" windowWidth="25600" windowHeight="14620" xr2:uid="{00000000-000D-0000-FFFF-FFFF00000000}"/>
  </bookViews>
  <sheets>
    <sheet name="Cardio Dataset" sheetId="1" r:id="rId1"/>
    <sheet name="Data Dictionary" sheetId="2" r:id="rId2"/>
    <sheet name="Summar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B8" i="3"/>
  <c r="E7" i="3"/>
  <c r="B7" i="3"/>
  <c r="E6" i="3"/>
  <c r="B6" i="3"/>
  <c r="E5" i="3"/>
  <c r="B5" i="3"/>
  <c r="E4" i="3"/>
  <c r="B4" i="3"/>
</calcChain>
</file>

<file path=xl/sharedStrings.xml><?xml version="1.0" encoding="utf-8"?>
<sst xmlns="http://schemas.openxmlformats.org/spreadsheetml/2006/main" count="1049" uniqueCount="203">
  <si>
    <t>Patient_ID</t>
  </si>
  <si>
    <t>Age</t>
  </si>
  <si>
    <t>Sex</t>
  </si>
  <si>
    <t>BMI</t>
  </si>
  <si>
    <t>Smoking_Status</t>
  </si>
  <si>
    <t>Hypertension</t>
  </si>
  <si>
    <t>Diabetes</t>
  </si>
  <si>
    <t>Dyslipidemia</t>
  </si>
  <si>
    <t>Primary_Diagnosis</t>
  </si>
  <si>
    <t>Presentation</t>
  </si>
  <si>
    <t>Systolic_BP_mmHg</t>
  </si>
  <si>
    <t>Diastolic_BP_mmHg</t>
  </si>
  <si>
    <t>Heart_Rate_bpm</t>
  </si>
  <si>
    <t>SpO2_percent</t>
  </si>
  <si>
    <t>Troponin_ng_L</t>
  </si>
  <si>
    <t>D_dimer_ng_mL</t>
  </si>
  <si>
    <t>BNP_pg_mL</t>
  </si>
  <si>
    <t>LDL_mg_dL</t>
  </si>
  <si>
    <t>Creatinine_mg_dL</t>
  </si>
  <si>
    <t>ECG_Finding</t>
  </si>
  <si>
    <t>Echo_LVEF_percent</t>
  </si>
  <si>
    <t>RV_Dysfunction</t>
  </si>
  <si>
    <t>CTPA_Result</t>
  </si>
  <si>
    <t>Treatment</t>
  </si>
  <si>
    <t>ICU_Admission</t>
  </si>
  <si>
    <t>Length_of_Stay_days</t>
  </si>
  <si>
    <t>Outcome</t>
  </si>
  <si>
    <t>30_Day_Readmission</t>
  </si>
  <si>
    <t>Clinical_Notes</t>
  </si>
  <si>
    <t>CARD-001</t>
  </si>
  <si>
    <t>Male</t>
  </si>
  <si>
    <t>Former</t>
  </si>
  <si>
    <t>Yes</t>
  </si>
  <si>
    <t>No</t>
  </si>
  <si>
    <t>Atrial Fibrillation</t>
  </si>
  <si>
    <t>Syncope</t>
  </si>
  <si>
    <t>Atrial fibrillation</t>
  </si>
  <si>
    <t>Not performed</t>
  </si>
  <si>
    <t>Rate control + anticoagulation</t>
  </si>
  <si>
    <t>Discharged improved</t>
  </si>
  <si>
    <t>Synthetic record for atrial fibrillation presenting with syncope; generated for research dataset demonstration only.</t>
  </si>
  <si>
    <t>CARD-002</t>
  </si>
  <si>
    <t>Never</t>
  </si>
  <si>
    <t>Myocarditis</t>
  </si>
  <si>
    <t>Fatigue</t>
  </si>
  <si>
    <t>ST elevation</t>
  </si>
  <si>
    <t>Heart failure therapy</t>
  </si>
  <si>
    <t>Synthetic record for myocarditis presenting with fatigue; generated for research dataset demonstration only.</t>
  </si>
  <si>
    <t>CARD-003</t>
  </si>
  <si>
    <t>Female</t>
  </si>
  <si>
    <t>Current</t>
  </si>
  <si>
    <t>Pulmonary Embolism</t>
  </si>
  <si>
    <t>Pleuritic chest pain</t>
  </si>
  <si>
    <t>T-wave inversion</t>
  </si>
  <si>
    <t>Submassive PE</t>
  </si>
  <si>
    <t>LMWH then DOAC</t>
  </si>
  <si>
    <t>Synthetic record for pulmonary embolism presenting with pleuritic chest pain; generated for research dataset demonstration only.</t>
  </si>
  <si>
    <t>CARD-004</t>
  </si>
  <si>
    <t>Heart Failure</t>
  </si>
  <si>
    <t>Dyspnea</t>
  </si>
  <si>
    <t>IV diuretics + GDMT</t>
  </si>
  <si>
    <t>Deceased</t>
  </si>
  <si>
    <t>Synthetic record for heart failure presenting with dyspnea; generated for research dataset demonstration only.</t>
  </si>
  <si>
    <t>CARD-005</t>
  </si>
  <si>
    <t>Right heart strain</t>
  </si>
  <si>
    <t>Segmental PE</t>
  </si>
  <si>
    <t>Anticoagulation</t>
  </si>
  <si>
    <t>CARD-006</t>
  </si>
  <si>
    <t>Valvular Heart Disease</t>
  </si>
  <si>
    <t>Echo follow-up</t>
  </si>
  <si>
    <t>Synthetic record for valvular heart disease presenting with fatigue; generated for research dataset demonstration only.</t>
  </si>
  <si>
    <t>CARD-007</t>
  </si>
  <si>
    <t>Rhythm control</t>
  </si>
  <si>
    <t>Transferred</t>
  </si>
  <si>
    <t>Synthetic record for atrial fibrillation presenting with dyspnea; generated for research dataset demonstration only.</t>
  </si>
  <si>
    <t>CARD-008</t>
  </si>
  <si>
    <t>Acute Coronary Syndrome</t>
  </si>
  <si>
    <t>ST depression</t>
  </si>
  <si>
    <t>PCI + DAPT</t>
  </si>
  <si>
    <t>Synthetic record for acute coronary syndrome presenting with syncope; generated for research dataset demonstration only.</t>
  </si>
  <si>
    <t>CARD-009</t>
  </si>
  <si>
    <t>LVH pattern</t>
  </si>
  <si>
    <t>Surgical evaluation</t>
  </si>
  <si>
    <t>Synthetic record for valvular heart disease presenting with dyspnea; generated for research dataset demonstration only.</t>
  </si>
  <si>
    <t>CARD-010</t>
  </si>
  <si>
    <t>Leg swelling</t>
  </si>
  <si>
    <t>Synthetic record for heart failure presenting with leg swelling; generated for research dataset demonstration only.</t>
  </si>
  <si>
    <t>CARD-011</t>
  </si>
  <si>
    <t>Synthetic record for heart failure presenting with fatigue; generated for research dataset demonstration only.</t>
  </si>
  <si>
    <t>CARD-012</t>
  </si>
  <si>
    <t>Chest pain</t>
  </si>
  <si>
    <t>Synthetic record for pulmonary embolism presenting with chest pain; generated for research dataset demonstration only.</t>
  </si>
  <si>
    <t>CARD-013</t>
  </si>
  <si>
    <t>CARD-014</t>
  </si>
  <si>
    <t>Sinus tachycardia</t>
  </si>
  <si>
    <t>Oxygen + diuretics</t>
  </si>
  <si>
    <t>CARD-015</t>
  </si>
  <si>
    <t>Synthetic record for acute coronary syndrome presenting with dyspnea; generated for research dataset demonstration only.</t>
  </si>
  <si>
    <t>CARD-016</t>
  </si>
  <si>
    <t>DAPT + statin</t>
  </si>
  <si>
    <t>Synthetic record for acute coronary syndrome presenting with chest pain; generated for research dataset demonstration only.</t>
  </si>
  <si>
    <t>CARD-017</t>
  </si>
  <si>
    <t>Stable Angina</t>
  </si>
  <si>
    <t>Anti-anginal therapy</t>
  </si>
  <si>
    <t>Synthetic record for stable angina presenting with chest pain; generated for research dataset demonstration only.</t>
  </si>
  <si>
    <t>CARD-018</t>
  </si>
  <si>
    <t>GDMT optimization</t>
  </si>
  <si>
    <t>CARD-019</t>
  </si>
  <si>
    <t>Statin + aspirin</t>
  </si>
  <si>
    <t>Synthetic record for stable angina presenting with pleuritic chest pain; generated for research dataset demonstration only.</t>
  </si>
  <si>
    <t>CARD-020</t>
  </si>
  <si>
    <t>NSAID restriction + monitoring</t>
  </si>
  <si>
    <t>Synthetic record for myocarditis presenting with leg swelling; generated for research dataset demonstration only.</t>
  </si>
  <si>
    <t>CARD-021</t>
  </si>
  <si>
    <t>CARD-022</t>
  </si>
  <si>
    <t>Synthetic record for valvular heart disease presenting with chest pain; generated for research dataset demonstration only.</t>
  </si>
  <si>
    <t>CARD-023</t>
  </si>
  <si>
    <t>Normal sinus rhythm</t>
  </si>
  <si>
    <t>CARD-024</t>
  </si>
  <si>
    <t>CARD-025</t>
  </si>
  <si>
    <t>CARD-026</t>
  </si>
  <si>
    <t>Outpatient stress testing</t>
  </si>
  <si>
    <t>Synthetic record for stable angina presenting with syncope; generated for research dataset demonstration only.</t>
  </si>
  <si>
    <t>CARD-027</t>
  </si>
  <si>
    <t>DAPT + anticoagulation</t>
  </si>
  <si>
    <t>CARD-028</t>
  </si>
  <si>
    <t>Supportive care</t>
  </si>
  <si>
    <t>CARD-029</t>
  </si>
  <si>
    <t>CARD-030</t>
  </si>
  <si>
    <t>DOAC + beta blocker</t>
  </si>
  <si>
    <t>CARD-031</t>
  </si>
  <si>
    <t>Palpitations</t>
  </si>
  <si>
    <t>Synthetic record for myocarditis presenting with palpitations; generated for research dataset demonstration only.</t>
  </si>
  <si>
    <t>CARD-032</t>
  </si>
  <si>
    <t>CARD-033</t>
  </si>
  <si>
    <t>CARD-034</t>
  </si>
  <si>
    <t>Synthetic record for stable angina presenting with dyspnea; generated for research dataset demonstration only.</t>
  </si>
  <si>
    <t>CARD-035</t>
  </si>
  <si>
    <t>CARD-036</t>
  </si>
  <si>
    <t>CARD-037</t>
  </si>
  <si>
    <t>Thrombolysis + ICU</t>
  </si>
  <si>
    <t>CARD-038</t>
  </si>
  <si>
    <t>Synthetic record for stable angina presenting with palpitations; generated for research dataset demonstration only.</t>
  </si>
  <si>
    <t>CARD-039</t>
  </si>
  <si>
    <t>CARD-040</t>
  </si>
  <si>
    <t>Massive bilateral PE</t>
  </si>
  <si>
    <t>CARD-041</t>
  </si>
  <si>
    <t>CARD-042</t>
  </si>
  <si>
    <t>CARD-043</t>
  </si>
  <si>
    <t>CARD-044</t>
  </si>
  <si>
    <t>CARD-045</t>
  </si>
  <si>
    <t>CARD-046</t>
  </si>
  <si>
    <t>CARD-047</t>
  </si>
  <si>
    <t>CARD-048</t>
  </si>
  <si>
    <t>Hypertensive Emergency</t>
  </si>
  <si>
    <t>BP control + monitoring</t>
  </si>
  <si>
    <t>Synthetic record for hypertensive emergency presenting with leg swelling; generated for research dataset demonstration only.</t>
  </si>
  <si>
    <t>CARD-049</t>
  </si>
  <si>
    <t>CARD-050</t>
  </si>
  <si>
    <t>CARD-051</t>
  </si>
  <si>
    <t>CARD-052</t>
  </si>
  <si>
    <t>CARD-053</t>
  </si>
  <si>
    <t>CARD-054</t>
  </si>
  <si>
    <t>CARD-055</t>
  </si>
  <si>
    <t>CARD-056</t>
  </si>
  <si>
    <t>CARD-057</t>
  </si>
  <si>
    <t>CARD-058</t>
  </si>
  <si>
    <t>CARD-059</t>
  </si>
  <si>
    <t>CARD-060</t>
  </si>
  <si>
    <t>Field</t>
  </si>
  <si>
    <t>Description</t>
  </si>
  <si>
    <t>Synthetic anonymous patient identifier.</t>
  </si>
  <si>
    <t>Age in years.</t>
  </si>
  <si>
    <t>Biological sex recorded for the synthetic case.</t>
  </si>
  <si>
    <t>Body mass index.</t>
  </si>
  <si>
    <t>Never, Former, or Current.</t>
  </si>
  <si>
    <t>Hypertension/Diabetes/Dyslipidemia</t>
  </si>
  <si>
    <t>Baseline cardiovascular risk factors.</t>
  </si>
  <si>
    <t>Main cardiovascular diagnosis at discharge.</t>
  </si>
  <si>
    <t>Dominant presenting symptom in emergency/clinic setting.</t>
  </si>
  <si>
    <t>Synthetic high-sensitivity troponin value.</t>
  </si>
  <si>
    <t>Synthetic D-dimer value; higher values are expected in PE.</t>
  </si>
  <si>
    <t>Synthetic BNP level; higher values are expected in heart failure/strain.</t>
  </si>
  <si>
    <t>Dominant ECG interpretation.</t>
  </si>
  <si>
    <t>Left ventricular ejection fraction.</t>
  </si>
  <si>
    <t>Whether right ventricular dysfunction was recorded.</t>
  </si>
  <si>
    <t>CT pulmonary angiography result where relevant.</t>
  </si>
  <si>
    <t>Initial management strategy.</t>
  </si>
  <si>
    <t>Whether patient required ICU admission.</t>
  </si>
  <si>
    <t>Discharge outcome.</t>
  </si>
  <si>
    <t>Readmission within 30 days.</t>
  </si>
  <si>
    <t>Important note</t>
  </si>
  <si>
    <t>This dataset is fully synthetic and must not be presented as real patient data.</t>
  </si>
  <si>
    <t>Cardio Synthetic Dataset Summary</t>
  </si>
  <si>
    <t>Metric</t>
  </si>
  <si>
    <t>Value</t>
  </si>
  <si>
    <t>Primary Diagnosis</t>
  </si>
  <si>
    <t>Count</t>
  </si>
  <si>
    <t>Total patients</t>
  </si>
  <si>
    <t>Mean age</t>
  </si>
  <si>
    <t>Mean BMI</t>
  </si>
  <si>
    <t>ICU admissions</t>
  </si>
  <si>
    <t>30-day readmissions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</si>
</sst>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ioDatasetTable" displayName="CardioDatasetTable" ref="A1:AC61">
  <tableColumns count="29">
    <tableColumn id="1" xr3:uid="{00000000-0010-0000-0000-000001000000}" name="Patient_ID"/>
    <tableColumn id="2" xr3:uid="{00000000-0010-0000-0000-000002000000}" name="Age"/>
    <tableColumn id="3" xr3:uid="{00000000-0010-0000-0000-000003000000}" name="Sex"/>
    <tableColumn id="4" xr3:uid="{00000000-0010-0000-0000-000004000000}" name="BMI"/>
    <tableColumn id="5" xr3:uid="{00000000-0010-0000-0000-000005000000}" name="Smoking_Status"/>
    <tableColumn id="6" xr3:uid="{00000000-0010-0000-0000-000006000000}" name="Hypertension"/>
    <tableColumn id="7" xr3:uid="{00000000-0010-0000-0000-000007000000}" name="Diabetes"/>
    <tableColumn id="8" xr3:uid="{00000000-0010-0000-0000-000008000000}" name="Dyslipidemia"/>
    <tableColumn id="9" xr3:uid="{00000000-0010-0000-0000-000009000000}" name="Primary_Diagnosis"/>
    <tableColumn id="10" xr3:uid="{00000000-0010-0000-0000-00000A000000}" name="Presentation"/>
    <tableColumn id="11" xr3:uid="{00000000-0010-0000-0000-00000B000000}" name="Systolic_BP_mmHg"/>
    <tableColumn id="12" xr3:uid="{00000000-0010-0000-0000-00000C000000}" name="Diastolic_BP_mmHg"/>
    <tableColumn id="13" xr3:uid="{00000000-0010-0000-0000-00000D000000}" name="Heart_Rate_bpm"/>
    <tableColumn id="14" xr3:uid="{00000000-0010-0000-0000-00000E000000}" name="SpO2_percent"/>
    <tableColumn id="15" xr3:uid="{00000000-0010-0000-0000-00000F000000}" name="Troponin_ng_L"/>
    <tableColumn id="16" xr3:uid="{00000000-0010-0000-0000-000010000000}" name="D_dimer_ng_mL"/>
    <tableColumn id="17" xr3:uid="{00000000-0010-0000-0000-000011000000}" name="BNP_pg_mL"/>
    <tableColumn id="18" xr3:uid="{00000000-0010-0000-0000-000012000000}" name="LDL_mg_dL"/>
    <tableColumn id="19" xr3:uid="{00000000-0010-0000-0000-000013000000}" name="Creatinine_mg_dL"/>
    <tableColumn id="20" xr3:uid="{00000000-0010-0000-0000-000014000000}" name="ECG_Finding"/>
    <tableColumn id="21" xr3:uid="{00000000-0010-0000-0000-000015000000}" name="Echo_LVEF_percent"/>
    <tableColumn id="22" xr3:uid="{00000000-0010-0000-0000-000016000000}" name="RV_Dysfunction"/>
    <tableColumn id="23" xr3:uid="{00000000-0010-0000-0000-000017000000}" name="CTPA_Result"/>
    <tableColumn id="24" xr3:uid="{00000000-0010-0000-0000-000018000000}" name="Treatment"/>
    <tableColumn id="25" xr3:uid="{00000000-0010-0000-0000-000019000000}" name="ICU_Admission"/>
    <tableColumn id="26" xr3:uid="{00000000-0010-0000-0000-00001A000000}" name="Length_of_Stay_days"/>
    <tableColumn id="27" xr3:uid="{00000000-0010-0000-0000-00001B000000}" name="Outcome"/>
    <tableColumn id="28" xr3:uid="{00000000-0010-0000-0000-00001C000000}" name="30_Day_Readmission"/>
    <tableColumn id="29" xr3:uid="{00000000-0010-0000-0000-00001D000000}" name="Clinical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workbookViewId="0"/>
  </sheetViews>
  <sheetFormatPr baseColWidth="10" defaultColWidth="8.83203125" defaultRowHeight="15"/>
  <cols>
    <col min="1" max="8" width="14" customWidth="1"/>
    <col min="9" max="9" width="24" customWidth="1"/>
    <col min="10" max="10" width="20" customWidth="1"/>
    <col min="11" max="19" width="14" customWidth="1"/>
    <col min="20" max="20" width="22" customWidth="1"/>
    <col min="21" max="22" width="14" customWidth="1"/>
    <col min="23" max="23" width="20" customWidth="1"/>
    <col min="24" max="24" width="24" customWidth="1"/>
    <col min="25" max="28" width="14" customWidth="1"/>
    <col min="29" max="29" width="40" customWidth="1"/>
  </cols>
  <sheetData>
    <row r="1" spans="1:29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48">
      <c r="A2" s="3" t="s">
        <v>29</v>
      </c>
      <c r="B2" s="6">
        <v>32</v>
      </c>
      <c r="C2" s="3" t="s">
        <v>30</v>
      </c>
      <c r="D2" s="4">
        <v>29.5</v>
      </c>
      <c r="E2" s="3" t="s">
        <v>31</v>
      </c>
      <c r="F2" s="3" t="s">
        <v>32</v>
      </c>
      <c r="G2" s="3" t="s">
        <v>32</v>
      </c>
      <c r="H2" s="3" t="s">
        <v>33</v>
      </c>
      <c r="I2" s="3" t="s">
        <v>34</v>
      </c>
      <c r="J2" s="3" t="s">
        <v>35</v>
      </c>
      <c r="K2" s="6">
        <v>132</v>
      </c>
      <c r="L2" s="6">
        <v>62</v>
      </c>
      <c r="M2" s="6">
        <v>147</v>
      </c>
      <c r="N2" s="6">
        <v>98</v>
      </c>
      <c r="O2" s="6">
        <v>37</v>
      </c>
      <c r="P2" s="6">
        <v>574</v>
      </c>
      <c r="Q2" s="6">
        <v>376</v>
      </c>
      <c r="R2" s="6">
        <v>152</v>
      </c>
      <c r="S2" s="5">
        <v>1.28</v>
      </c>
      <c r="T2" s="3" t="s">
        <v>36</v>
      </c>
      <c r="U2" s="6">
        <v>61</v>
      </c>
      <c r="V2" s="3" t="s">
        <v>33</v>
      </c>
      <c r="W2" s="3" t="s">
        <v>37</v>
      </c>
      <c r="X2" s="3" t="s">
        <v>38</v>
      </c>
      <c r="Y2" s="3" t="s">
        <v>33</v>
      </c>
      <c r="Z2" s="6">
        <v>2</v>
      </c>
      <c r="AA2" s="3" t="s">
        <v>39</v>
      </c>
      <c r="AB2" s="3" t="s">
        <v>33</v>
      </c>
      <c r="AC2" s="3" t="s">
        <v>40</v>
      </c>
    </row>
    <row r="3" spans="1:29" ht="48">
      <c r="A3" s="3" t="s">
        <v>41</v>
      </c>
      <c r="B3" s="6">
        <v>28</v>
      </c>
      <c r="C3" s="3" t="s">
        <v>30</v>
      </c>
      <c r="D3" s="4">
        <v>31.6</v>
      </c>
      <c r="E3" s="3" t="s">
        <v>42</v>
      </c>
      <c r="F3" s="3" t="s">
        <v>33</v>
      </c>
      <c r="G3" s="3" t="s">
        <v>33</v>
      </c>
      <c r="H3" s="3" t="s">
        <v>32</v>
      </c>
      <c r="I3" s="3" t="s">
        <v>43</v>
      </c>
      <c r="J3" s="3" t="s">
        <v>44</v>
      </c>
      <c r="K3" s="6">
        <v>137</v>
      </c>
      <c r="L3" s="6">
        <v>88</v>
      </c>
      <c r="M3" s="6">
        <v>98</v>
      </c>
      <c r="N3" s="6">
        <v>100</v>
      </c>
      <c r="O3" s="6">
        <v>41</v>
      </c>
      <c r="P3" s="6">
        <v>287</v>
      </c>
      <c r="Q3" s="6">
        <v>104</v>
      </c>
      <c r="R3" s="6">
        <v>92</v>
      </c>
      <c r="S3" s="5">
        <v>0.55000000000000004</v>
      </c>
      <c r="T3" s="3" t="s">
        <v>45</v>
      </c>
      <c r="U3" s="6">
        <v>55</v>
      </c>
      <c r="V3" s="3" t="s">
        <v>33</v>
      </c>
      <c r="W3" s="3" t="s">
        <v>37</v>
      </c>
      <c r="X3" s="3" t="s">
        <v>46</v>
      </c>
      <c r="Y3" s="3" t="s">
        <v>33</v>
      </c>
      <c r="Z3" s="6">
        <v>10</v>
      </c>
      <c r="AA3" s="3" t="s">
        <v>39</v>
      </c>
      <c r="AB3" s="3" t="s">
        <v>33</v>
      </c>
      <c r="AC3" s="3" t="s">
        <v>47</v>
      </c>
    </row>
    <row r="4" spans="1:29" ht="48">
      <c r="A4" s="3" t="s">
        <v>48</v>
      </c>
      <c r="B4" s="6">
        <v>69</v>
      </c>
      <c r="C4" s="3" t="s">
        <v>49</v>
      </c>
      <c r="D4" s="4">
        <v>27.1</v>
      </c>
      <c r="E4" s="3" t="s">
        <v>50</v>
      </c>
      <c r="F4" s="3" t="s">
        <v>32</v>
      </c>
      <c r="G4" s="3" t="s">
        <v>32</v>
      </c>
      <c r="H4" s="3" t="s">
        <v>32</v>
      </c>
      <c r="I4" s="3" t="s">
        <v>51</v>
      </c>
      <c r="J4" s="3" t="s">
        <v>52</v>
      </c>
      <c r="K4" s="6">
        <v>120</v>
      </c>
      <c r="L4" s="6">
        <v>81</v>
      </c>
      <c r="M4" s="6">
        <v>117</v>
      </c>
      <c r="N4" s="6">
        <v>94</v>
      </c>
      <c r="O4" s="6">
        <v>251</v>
      </c>
      <c r="P4" s="6">
        <v>2946</v>
      </c>
      <c r="Q4" s="6">
        <v>372</v>
      </c>
      <c r="R4" s="6">
        <v>62</v>
      </c>
      <c r="S4" s="5">
        <v>1.25</v>
      </c>
      <c r="T4" s="3" t="s">
        <v>53</v>
      </c>
      <c r="U4" s="6">
        <v>47</v>
      </c>
      <c r="V4" s="3" t="s">
        <v>32</v>
      </c>
      <c r="W4" s="3" t="s">
        <v>54</v>
      </c>
      <c r="X4" s="3" t="s">
        <v>55</v>
      </c>
      <c r="Y4" s="3" t="s">
        <v>33</v>
      </c>
      <c r="Z4" s="6">
        <v>7</v>
      </c>
      <c r="AA4" s="3" t="s">
        <v>39</v>
      </c>
      <c r="AB4" s="3" t="s">
        <v>33</v>
      </c>
      <c r="AC4" s="3" t="s">
        <v>56</v>
      </c>
    </row>
    <row r="5" spans="1:29" ht="48">
      <c r="A5" s="3" t="s">
        <v>57</v>
      </c>
      <c r="B5" s="6">
        <v>57</v>
      </c>
      <c r="C5" s="3" t="s">
        <v>49</v>
      </c>
      <c r="D5" s="4">
        <v>26</v>
      </c>
      <c r="E5" s="3" t="s">
        <v>31</v>
      </c>
      <c r="F5" s="3" t="s">
        <v>32</v>
      </c>
      <c r="G5" s="3" t="s">
        <v>32</v>
      </c>
      <c r="H5" s="3" t="s">
        <v>32</v>
      </c>
      <c r="I5" s="3" t="s">
        <v>58</v>
      </c>
      <c r="J5" s="3" t="s">
        <v>59</v>
      </c>
      <c r="K5" s="6">
        <v>103</v>
      </c>
      <c r="L5" s="6">
        <v>82</v>
      </c>
      <c r="M5" s="6">
        <v>86</v>
      </c>
      <c r="N5" s="6">
        <v>96</v>
      </c>
      <c r="O5" s="6">
        <v>20</v>
      </c>
      <c r="P5" s="6">
        <v>143</v>
      </c>
      <c r="Q5" s="6">
        <v>633</v>
      </c>
      <c r="R5" s="6">
        <v>149</v>
      </c>
      <c r="S5" s="5">
        <v>1.0900000000000001</v>
      </c>
      <c r="T5" s="3" t="s">
        <v>36</v>
      </c>
      <c r="U5" s="6">
        <v>29</v>
      </c>
      <c r="V5" s="3" t="s">
        <v>33</v>
      </c>
      <c r="W5" s="3" t="s">
        <v>37</v>
      </c>
      <c r="X5" s="3" t="s">
        <v>60</v>
      </c>
      <c r="Y5" s="3" t="s">
        <v>32</v>
      </c>
      <c r="Z5" s="6">
        <v>9</v>
      </c>
      <c r="AA5" s="3" t="s">
        <v>61</v>
      </c>
      <c r="AB5" s="3" t="s">
        <v>33</v>
      </c>
      <c r="AC5" s="3" t="s">
        <v>62</v>
      </c>
    </row>
    <row r="6" spans="1:29" ht="48">
      <c r="A6" s="3" t="s">
        <v>63</v>
      </c>
      <c r="B6" s="6">
        <v>48</v>
      </c>
      <c r="C6" s="3" t="s">
        <v>30</v>
      </c>
      <c r="D6" s="4">
        <v>25.6</v>
      </c>
      <c r="E6" s="3" t="s">
        <v>42</v>
      </c>
      <c r="F6" s="3" t="s">
        <v>33</v>
      </c>
      <c r="G6" s="3" t="s">
        <v>33</v>
      </c>
      <c r="H6" s="3" t="s">
        <v>32</v>
      </c>
      <c r="I6" s="3" t="s">
        <v>51</v>
      </c>
      <c r="J6" s="3" t="s">
        <v>52</v>
      </c>
      <c r="K6" s="6">
        <v>148</v>
      </c>
      <c r="L6" s="6">
        <v>98</v>
      </c>
      <c r="M6" s="6">
        <v>114</v>
      </c>
      <c r="N6" s="6">
        <v>91</v>
      </c>
      <c r="O6" s="6">
        <v>38</v>
      </c>
      <c r="P6" s="6">
        <v>1704</v>
      </c>
      <c r="Q6" s="6">
        <v>127</v>
      </c>
      <c r="R6" s="6">
        <v>125</v>
      </c>
      <c r="S6" s="5">
        <v>0.97</v>
      </c>
      <c r="T6" s="3" t="s">
        <v>64</v>
      </c>
      <c r="U6" s="6">
        <v>66</v>
      </c>
      <c r="V6" s="3" t="s">
        <v>32</v>
      </c>
      <c r="W6" s="3" t="s">
        <v>65</v>
      </c>
      <c r="X6" s="3" t="s">
        <v>66</v>
      </c>
      <c r="Y6" s="3" t="s">
        <v>33</v>
      </c>
      <c r="Z6" s="6">
        <v>6</v>
      </c>
      <c r="AA6" s="3" t="s">
        <v>39</v>
      </c>
      <c r="AB6" s="3" t="s">
        <v>33</v>
      </c>
      <c r="AC6" s="3" t="s">
        <v>56</v>
      </c>
    </row>
    <row r="7" spans="1:29" ht="48">
      <c r="A7" s="3" t="s">
        <v>67</v>
      </c>
      <c r="B7" s="6">
        <v>51</v>
      </c>
      <c r="C7" s="3" t="s">
        <v>30</v>
      </c>
      <c r="D7" s="4">
        <v>31.6</v>
      </c>
      <c r="E7" s="3" t="s">
        <v>31</v>
      </c>
      <c r="F7" s="3" t="s">
        <v>32</v>
      </c>
      <c r="G7" s="3" t="s">
        <v>33</v>
      </c>
      <c r="H7" s="3" t="s">
        <v>33</v>
      </c>
      <c r="I7" s="3" t="s">
        <v>68</v>
      </c>
      <c r="J7" s="3" t="s">
        <v>44</v>
      </c>
      <c r="K7" s="6">
        <v>135</v>
      </c>
      <c r="L7" s="6">
        <v>99</v>
      </c>
      <c r="M7" s="6">
        <v>97</v>
      </c>
      <c r="N7" s="6">
        <v>94</v>
      </c>
      <c r="O7" s="6">
        <v>9</v>
      </c>
      <c r="P7" s="6">
        <v>1957</v>
      </c>
      <c r="Q7" s="6">
        <v>122</v>
      </c>
      <c r="R7" s="6">
        <v>112</v>
      </c>
      <c r="S7" s="5">
        <v>0.98</v>
      </c>
      <c r="T7" s="3" t="s">
        <v>64</v>
      </c>
      <c r="U7" s="6">
        <v>50</v>
      </c>
      <c r="V7" s="3" t="s">
        <v>33</v>
      </c>
      <c r="W7" s="3" t="s">
        <v>37</v>
      </c>
      <c r="X7" s="3" t="s">
        <v>69</v>
      </c>
      <c r="Y7" s="3" t="s">
        <v>33</v>
      </c>
      <c r="Z7" s="6">
        <v>4</v>
      </c>
      <c r="AA7" s="3" t="s">
        <v>39</v>
      </c>
      <c r="AB7" s="3" t="s">
        <v>33</v>
      </c>
      <c r="AC7" s="3" t="s">
        <v>70</v>
      </c>
    </row>
    <row r="8" spans="1:29" ht="48">
      <c r="A8" s="3" t="s">
        <v>71</v>
      </c>
      <c r="B8" s="6">
        <v>23</v>
      </c>
      <c r="C8" s="3" t="s">
        <v>49</v>
      </c>
      <c r="D8" s="4">
        <v>24</v>
      </c>
      <c r="E8" s="3" t="s">
        <v>42</v>
      </c>
      <c r="F8" s="3" t="s">
        <v>32</v>
      </c>
      <c r="G8" s="3" t="s">
        <v>33</v>
      </c>
      <c r="H8" s="3" t="s">
        <v>33</v>
      </c>
      <c r="I8" s="3" t="s">
        <v>34</v>
      </c>
      <c r="J8" s="3" t="s">
        <v>59</v>
      </c>
      <c r="K8" s="6">
        <v>154</v>
      </c>
      <c r="L8" s="6">
        <v>69</v>
      </c>
      <c r="M8" s="6">
        <v>101</v>
      </c>
      <c r="N8" s="6">
        <v>99</v>
      </c>
      <c r="O8" s="6">
        <v>13</v>
      </c>
      <c r="P8" s="6">
        <v>1149</v>
      </c>
      <c r="Q8" s="6">
        <v>42</v>
      </c>
      <c r="R8" s="6">
        <v>75</v>
      </c>
      <c r="S8" s="5">
        <v>1.1499999999999999</v>
      </c>
      <c r="T8" s="3" t="s">
        <v>36</v>
      </c>
      <c r="U8" s="6">
        <v>60</v>
      </c>
      <c r="V8" s="3" t="s">
        <v>33</v>
      </c>
      <c r="W8" s="3" t="s">
        <v>37</v>
      </c>
      <c r="X8" s="3" t="s">
        <v>72</v>
      </c>
      <c r="Y8" s="3" t="s">
        <v>33</v>
      </c>
      <c r="Z8" s="6">
        <v>8</v>
      </c>
      <c r="AA8" s="3" t="s">
        <v>73</v>
      </c>
      <c r="AB8" s="3" t="s">
        <v>32</v>
      </c>
      <c r="AC8" s="3" t="s">
        <v>74</v>
      </c>
    </row>
    <row r="9" spans="1:29" ht="48">
      <c r="A9" s="3" t="s">
        <v>75</v>
      </c>
      <c r="B9" s="6">
        <v>51</v>
      </c>
      <c r="C9" s="3" t="s">
        <v>30</v>
      </c>
      <c r="D9" s="4">
        <v>21.4</v>
      </c>
      <c r="E9" s="3" t="s">
        <v>50</v>
      </c>
      <c r="F9" s="3" t="s">
        <v>32</v>
      </c>
      <c r="G9" s="3" t="s">
        <v>33</v>
      </c>
      <c r="H9" s="3" t="s">
        <v>32</v>
      </c>
      <c r="I9" s="3" t="s">
        <v>76</v>
      </c>
      <c r="J9" s="3" t="s">
        <v>35</v>
      </c>
      <c r="K9" s="6">
        <v>169</v>
      </c>
      <c r="L9" s="6">
        <v>100</v>
      </c>
      <c r="M9" s="6">
        <v>97</v>
      </c>
      <c r="N9" s="6">
        <v>94</v>
      </c>
      <c r="O9" s="6">
        <v>692</v>
      </c>
      <c r="P9" s="6">
        <v>494</v>
      </c>
      <c r="Q9" s="6">
        <v>129</v>
      </c>
      <c r="R9" s="6">
        <v>110</v>
      </c>
      <c r="S9" s="5">
        <v>0.55000000000000004</v>
      </c>
      <c r="T9" s="3" t="s">
        <v>77</v>
      </c>
      <c r="U9" s="6">
        <v>58</v>
      </c>
      <c r="V9" s="3" t="s">
        <v>33</v>
      </c>
      <c r="W9" s="3" t="s">
        <v>37</v>
      </c>
      <c r="X9" s="3" t="s">
        <v>78</v>
      </c>
      <c r="Y9" s="3" t="s">
        <v>33</v>
      </c>
      <c r="Z9" s="6">
        <v>8</v>
      </c>
      <c r="AA9" s="3" t="s">
        <v>39</v>
      </c>
      <c r="AB9" s="3" t="s">
        <v>33</v>
      </c>
      <c r="AC9" s="3" t="s">
        <v>79</v>
      </c>
    </row>
    <row r="10" spans="1:29" ht="48">
      <c r="A10" s="3" t="s">
        <v>80</v>
      </c>
      <c r="B10" s="6">
        <v>45</v>
      </c>
      <c r="C10" s="3" t="s">
        <v>49</v>
      </c>
      <c r="D10" s="4">
        <v>32.299999999999997</v>
      </c>
      <c r="E10" s="3" t="s">
        <v>42</v>
      </c>
      <c r="F10" s="3" t="s">
        <v>32</v>
      </c>
      <c r="G10" s="3" t="s">
        <v>33</v>
      </c>
      <c r="H10" s="3" t="s">
        <v>33</v>
      </c>
      <c r="I10" s="3" t="s">
        <v>68</v>
      </c>
      <c r="J10" s="3" t="s">
        <v>59</v>
      </c>
      <c r="K10" s="6">
        <v>141</v>
      </c>
      <c r="L10" s="6">
        <v>71</v>
      </c>
      <c r="M10" s="6">
        <v>80</v>
      </c>
      <c r="N10" s="6">
        <v>90</v>
      </c>
      <c r="O10" s="6">
        <v>21</v>
      </c>
      <c r="P10" s="6">
        <v>3287</v>
      </c>
      <c r="Q10" s="6">
        <v>57</v>
      </c>
      <c r="R10" s="6">
        <v>125</v>
      </c>
      <c r="S10" s="5">
        <v>0.86</v>
      </c>
      <c r="T10" s="3" t="s">
        <v>81</v>
      </c>
      <c r="U10" s="6">
        <v>72</v>
      </c>
      <c r="V10" s="3" t="s">
        <v>33</v>
      </c>
      <c r="W10" s="3" t="s">
        <v>37</v>
      </c>
      <c r="X10" s="3" t="s">
        <v>82</v>
      </c>
      <c r="Y10" s="3" t="s">
        <v>33</v>
      </c>
      <c r="Z10" s="6">
        <v>9</v>
      </c>
      <c r="AA10" s="3" t="s">
        <v>39</v>
      </c>
      <c r="AB10" s="3" t="s">
        <v>33</v>
      </c>
      <c r="AC10" s="3" t="s">
        <v>83</v>
      </c>
    </row>
    <row r="11" spans="1:29" ht="48">
      <c r="A11" s="3" t="s">
        <v>84</v>
      </c>
      <c r="B11" s="6">
        <v>38</v>
      </c>
      <c r="C11" s="3" t="s">
        <v>49</v>
      </c>
      <c r="D11" s="4">
        <v>25.4</v>
      </c>
      <c r="E11" s="3" t="s">
        <v>42</v>
      </c>
      <c r="F11" s="3" t="s">
        <v>33</v>
      </c>
      <c r="G11" s="3" t="s">
        <v>33</v>
      </c>
      <c r="H11" s="3" t="s">
        <v>33</v>
      </c>
      <c r="I11" s="3" t="s">
        <v>58</v>
      </c>
      <c r="J11" s="3" t="s">
        <v>85</v>
      </c>
      <c r="K11" s="6">
        <v>107</v>
      </c>
      <c r="L11" s="6">
        <v>74</v>
      </c>
      <c r="M11" s="6">
        <v>89</v>
      </c>
      <c r="N11" s="6">
        <v>91</v>
      </c>
      <c r="O11" s="6">
        <v>32</v>
      </c>
      <c r="P11" s="6">
        <v>557</v>
      </c>
      <c r="Q11" s="6">
        <v>895</v>
      </c>
      <c r="R11" s="6">
        <v>75</v>
      </c>
      <c r="S11" s="5">
        <v>1.07</v>
      </c>
      <c r="T11" s="3" t="s">
        <v>81</v>
      </c>
      <c r="U11" s="6">
        <v>37</v>
      </c>
      <c r="V11" s="3" t="s">
        <v>33</v>
      </c>
      <c r="W11" s="3" t="s">
        <v>37</v>
      </c>
      <c r="X11" s="3" t="s">
        <v>60</v>
      </c>
      <c r="Y11" s="3" t="s">
        <v>33</v>
      </c>
      <c r="Z11" s="6">
        <v>6</v>
      </c>
      <c r="AA11" s="3" t="s">
        <v>39</v>
      </c>
      <c r="AB11" s="3" t="s">
        <v>33</v>
      </c>
      <c r="AC11" s="3" t="s">
        <v>86</v>
      </c>
    </row>
    <row r="12" spans="1:29" ht="48">
      <c r="A12" s="3" t="s">
        <v>87</v>
      </c>
      <c r="B12" s="6">
        <v>21</v>
      </c>
      <c r="C12" s="3" t="s">
        <v>49</v>
      </c>
      <c r="D12" s="4">
        <v>29.1</v>
      </c>
      <c r="E12" s="3" t="s">
        <v>42</v>
      </c>
      <c r="F12" s="3" t="s">
        <v>32</v>
      </c>
      <c r="G12" s="3" t="s">
        <v>33</v>
      </c>
      <c r="H12" s="3" t="s">
        <v>33</v>
      </c>
      <c r="I12" s="3" t="s">
        <v>58</v>
      </c>
      <c r="J12" s="3" t="s">
        <v>44</v>
      </c>
      <c r="K12" s="6">
        <v>114</v>
      </c>
      <c r="L12" s="6">
        <v>91</v>
      </c>
      <c r="M12" s="6">
        <v>139</v>
      </c>
      <c r="N12" s="6">
        <v>94</v>
      </c>
      <c r="O12" s="6">
        <v>72</v>
      </c>
      <c r="P12" s="6">
        <v>1715</v>
      </c>
      <c r="Q12" s="6">
        <v>2831</v>
      </c>
      <c r="R12" s="6">
        <v>128</v>
      </c>
      <c r="S12" s="5">
        <v>1.32</v>
      </c>
      <c r="T12" s="3" t="s">
        <v>36</v>
      </c>
      <c r="U12" s="6">
        <v>27</v>
      </c>
      <c r="V12" s="3" t="s">
        <v>33</v>
      </c>
      <c r="W12" s="3" t="s">
        <v>37</v>
      </c>
      <c r="X12" s="3" t="s">
        <v>60</v>
      </c>
      <c r="Y12" s="3" t="s">
        <v>33</v>
      </c>
      <c r="Z12" s="6">
        <v>9</v>
      </c>
      <c r="AA12" s="3" t="s">
        <v>39</v>
      </c>
      <c r="AB12" s="3" t="s">
        <v>33</v>
      </c>
      <c r="AC12" s="3" t="s">
        <v>88</v>
      </c>
    </row>
    <row r="13" spans="1:29" ht="48">
      <c r="A13" s="3" t="s">
        <v>89</v>
      </c>
      <c r="B13" s="6">
        <v>27</v>
      </c>
      <c r="C13" s="3" t="s">
        <v>30</v>
      </c>
      <c r="D13" s="4">
        <v>33.799999999999997</v>
      </c>
      <c r="E13" s="3" t="s">
        <v>42</v>
      </c>
      <c r="F13" s="3" t="s">
        <v>32</v>
      </c>
      <c r="G13" s="3" t="s">
        <v>33</v>
      </c>
      <c r="H13" s="3" t="s">
        <v>33</v>
      </c>
      <c r="I13" s="3" t="s">
        <v>51</v>
      </c>
      <c r="J13" s="3" t="s">
        <v>90</v>
      </c>
      <c r="K13" s="6">
        <v>97</v>
      </c>
      <c r="L13" s="6">
        <v>81</v>
      </c>
      <c r="M13" s="6">
        <v>102</v>
      </c>
      <c r="N13" s="6">
        <v>88</v>
      </c>
      <c r="O13" s="6">
        <v>25</v>
      </c>
      <c r="P13" s="6">
        <v>2562</v>
      </c>
      <c r="Q13" s="6">
        <v>1245</v>
      </c>
      <c r="R13" s="6">
        <v>131</v>
      </c>
      <c r="S13" s="5">
        <v>0.78</v>
      </c>
      <c r="T13" s="3" t="s">
        <v>53</v>
      </c>
      <c r="U13" s="6">
        <v>65</v>
      </c>
      <c r="V13" s="3" t="s">
        <v>33</v>
      </c>
      <c r="W13" s="3" t="s">
        <v>65</v>
      </c>
      <c r="X13" s="3" t="s">
        <v>66</v>
      </c>
      <c r="Y13" s="3" t="s">
        <v>33</v>
      </c>
      <c r="Z13" s="6">
        <v>9</v>
      </c>
      <c r="AA13" s="3" t="s">
        <v>39</v>
      </c>
      <c r="AB13" s="3" t="s">
        <v>33</v>
      </c>
      <c r="AC13" s="3" t="s">
        <v>91</v>
      </c>
    </row>
    <row r="14" spans="1:29" ht="48">
      <c r="A14" s="3" t="s">
        <v>92</v>
      </c>
      <c r="B14" s="6">
        <v>80</v>
      </c>
      <c r="C14" s="3" t="s">
        <v>49</v>
      </c>
      <c r="D14" s="4">
        <v>29.5</v>
      </c>
      <c r="E14" s="3" t="s">
        <v>31</v>
      </c>
      <c r="F14" s="3" t="s">
        <v>32</v>
      </c>
      <c r="G14" s="3" t="s">
        <v>33</v>
      </c>
      <c r="H14" s="3" t="s">
        <v>32</v>
      </c>
      <c r="I14" s="3" t="s">
        <v>51</v>
      </c>
      <c r="J14" s="3" t="s">
        <v>52</v>
      </c>
      <c r="K14" s="6">
        <v>135</v>
      </c>
      <c r="L14" s="6">
        <v>80</v>
      </c>
      <c r="M14" s="6">
        <v>129</v>
      </c>
      <c r="N14" s="6">
        <v>88</v>
      </c>
      <c r="O14" s="6">
        <v>73</v>
      </c>
      <c r="P14" s="6">
        <v>2936</v>
      </c>
      <c r="Q14" s="6">
        <v>444</v>
      </c>
      <c r="R14" s="6">
        <v>105</v>
      </c>
      <c r="S14" s="5">
        <v>0.66</v>
      </c>
      <c r="T14" s="3" t="s">
        <v>53</v>
      </c>
      <c r="U14" s="6">
        <v>45</v>
      </c>
      <c r="V14" s="3" t="s">
        <v>33</v>
      </c>
      <c r="W14" s="3" t="s">
        <v>54</v>
      </c>
      <c r="X14" s="3" t="s">
        <v>55</v>
      </c>
      <c r="Y14" s="3" t="s">
        <v>33</v>
      </c>
      <c r="Z14" s="6">
        <v>7</v>
      </c>
      <c r="AA14" s="3" t="s">
        <v>39</v>
      </c>
      <c r="AB14" s="3" t="s">
        <v>33</v>
      </c>
      <c r="AC14" s="3" t="s">
        <v>56</v>
      </c>
    </row>
    <row r="15" spans="1:29" ht="48">
      <c r="A15" s="3" t="s">
        <v>93</v>
      </c>
      <c r="B15" s="6">
        <v>56</v>
      </c>
      <c r="C15" s="3" t="s">
        <v>49</v>
      </c>
      <c r="D15" s="4">
        <v>23</v>
      </c>
      <c r="E15" s="3" t="s">
        <v>42</v>
      </c>
      <c r="F15" s="3" t="s">
        <v>32</v>
      </c>
      <c r="G15" s="3" t="s">
        <v>33</v>
      </c>
      <c r="H15" s="3" t="s">
        <v>33</v>
      </c>
      <c r="I15" s="3" t="s">
        <v>58</v>
      </c>
      <c r="J15" s="3" t="s">
        <v>59</v>
      </c>
      <c r="K15" s="6">
        <v>109</v>
      </c>
      <c r="L15" s="6">
        <v>83</v>
      </c>
      <c r="M15" s="6">
        <v>77</v>
      </c>
      <c r="N15" s="6">
        <v>95</v>
      </c>
      <c r="O15" s="6">
        <v>13</v>
      </c>
      <c r="P15" s="6">
        <v>446</v>
      </c>
      <c r="Q15" s="6">
        <v>256</v>
      </c>
      <c r="R15" s="6">
        <v>146</v>
      </c>
      <c r="S15" s="5">
        <v>0.74</v>
      </c>
      <c r="T15" s="3" t="s">
        <v>94</v>
      </c>
      <c r="U15" s="6">
        <v>40</v>
      </c>
      <c r="V15" s="3" t="s">
        <v>33</v>
      </c>
      <c r="W15" s="3" t="s">
        <v>37</v>
      </c>
      <c r="X15" s="3" t="s">
        <v>95</v>
      </c>
      <c r="Y15" s="3" t="s">
        <v>33</v>
      </c>
      <c r="Z15" s="6">
        <v>7</v>
      </c>
      <c r="AA15" s="3" t="s">
        <v>39</v>
      </c>
      <c r="AB15" s="3" t="s">
        <v>33</v>
      </c>
      <c r="AC15" s="3" t="s">
        <v>62</v>
      </c>
    </row>
    <row r="16" spans="1:29" ht="48">
      <c r="A16" s="3" t="s">
        <v>96</v>
      </c>
      <c r="B16" s="6">
        <v>28</v>
      </c>
      <c r="C16" s="3" t="s">
        <v>30</v>
      </c>
      <c r="D16" s="4">
        <v>27.8</v>
      </c>
      <c r="E16" s="3" t="s">
        <v>31</v>
      </c>
      <c r="F16" s="3" t="s">
        <v>32</v>
      </c>
      <c r="G16" s="3" t="s">
        <v>33</v>
      </c>
      <c r="H16" s="3" t="s">
        <v>33</v>
      </c>
      <c r="I16" s="3" t="s">
        <v>76</v>
      </c>
      <c r="J16" s="3" t="s">
        <v>59</v>
      </c>
      <c r="K16" s="6">
        <v>141</v>
      </c>
      <c r="L16" s="6">
        <v>80</v>
      </c>
      <c r="M16" s="6">
        <v>105</v>
      </c>
      <c r="N16" s="6">
        <v>97</v>
      </c>
      <c r="O16" s="6">
        <v>310</v>
      </c>
      <c r="P16" s="6">
        <v>537</v>
      </c>
      <c r="Q16" s="6">
        <v>1039</v>
      </c>
      <c r="R16" s="6">
        <v>91</v>
      </c>
      <c r="S16" s="5">
        <v>1.25</v>
      </c>
      <c r="T16" s="3" t="s">
        <v>53</v>
      </c>
      <c r="U16" s="6">
        <v>54</v>
      </c>
      <c r="V16" s="3" t="s">
        <v>33</v>
      </c>
      <c r="W16" s="3" t="s">
        <v>37</v>
      </c>
      <c r="X16" s="3" t="s">
        <v>78</v>
      </c>
      <c r="Y16" s="3" t="s">
        <v>33</v>
      </c>
      <c r="Z16" s="6">
        <v>8</v>
      </c>
      <c r="AA16" s="3" t="s">
        <v>39</v>
      </c>
      <c r="AB16" s="3" t="s">
        <v>33</v>
      </c>
      <c r="AC16" s="3" t="s">
        <v>97</v>
      </c>
    </row>
    <row r="17" spans="1:29" ht="48">
      <c r="A17" s="3" t="s">
        <v>98</v>
      </c>
      <c r="B17" s="6">
        <v>34</v>
      </c>
      <c r="C17" s="3" t="s">
        <v>49</v>
      </c>
      <c r="D17" s="4">
        <v>25.4</v>
      </c>
      <c r="E17" s="3" t="s">
        <v>42</v>
      </c>
      <c r="F17" s="3" t="s">
        <v>32</v>
      </c>
      <c r="G17" s="3" t="s">
        <v>33</v>
      </c>
      <c r="H17" s="3" t="s">
        <v>33</v>
      </c>
      <c r="I17" s="3" t="s">
        <v>76</v>
      </c>
      <c r="J17" s="3" t="s">
        <v>90</v>
      </c>
      <c r="K17" s="6">
        <v>98</v>
      </c>
      <c r="L17" s="6">
        <v>85</v>
      </c>
      <c r="M17" s="6">
        <v>108</v>
      </c>
      <c r="N17" s="6">
        <v>97</v>
      </c>
      <c r="O17" s="6">
        <v>204</v>
      </c>
      <c r="P17" s="6">
        <v>685</v>
      </c>
      <c r="Q17" s="6">
        <v>49</v>
      </c>
      <c r="R17" s="6">
        <v>140</v>
      </c>
      <c r="S17" s="5">
        <v>1.18</v>
      </c>
      <c r="T17" s="3" t="s">
        <v>53</v>
      </c>
      <c r="U17" s="6">
        <v>62</v>
      </c>
      <c r="V17" s="3" t="s">
        <v>33</v>
      </c>
      <c r="W17" s="3" t="s">
        <v>37</v>
      </c>
      <c r="X17" s="3" t="s">
        <v>99</v>
      </c>
      <c r="Y17" s="3" t="s">
        <v>33</v>
      </c>
      <c r="Z17" s="6">
        <v>6</v>
      </c>
      <c r="AA17" s="3" t="s">
        <v>39</v>
      </c>
      <c r="AB17" s="3" t="s">
        <v>33</v>
      </c>
      <c r="AC17" s="3" t="s">
        <v>100</v>
      </c>
    </row>
    <row r="18" spans="1:29" ht="48">
      <c r="A18" s="3" t="s">
        <v>101</v>
      </c>
      <c r="B18" s="6">
        <v>60</v>
      </c>
      <c r="C18" s="3" t="s">
        <v>49</v>
      </c>
      <c r="D18" s="4">
        <v>26.5</v>
      </c>
      <c r="E18" s="3" t="s">
        <v>42</v>
      </c>
      <c r="F18" s="3" t="s">
        <v>32</v>
      </c>
      <c r="G18" s="3" t="s">
        <v>33</v>
      </c>
      <c r="H18" s="3" t="s">
        <v>32</v>
      </c>
      <c r="I18" s="3" t="s">
        <v>102</v>
      </c>
      <c r="J18" s="3" t="s">
        <v>90</v>
      </c>
      <c r="K18" s="6">
        <v>117</v>
      </c>
      <c r="L18" s="6">
        <v>96</v>
      </c>
      <c r="M18" s="6">
        <v>94</v>
      </c>
      <c r="N18" s="6">
        <v>99</v>
      </c>
      <c r="O18" s="6">
        <v>7</v>
      </c>
      <c r="P18" s="6">
        <v>630</v>
      </c>
      <c r="Q18" s="6">
        <v>72</v>
      </c>
      <c r="R18" s="6">
        <v>166</v>
      </c>
      <c r="S18" s="5">
        <v>1.43</v>
      </c>
      <c r="T18" s="3" t="s">
        <v>94</v>
      </c>
      <c r="U18" s="6">
        <v>55</v>
      </c>
      <c r="V18" s="3" t="s">
        <v>33</v>
      </c>
      <c r="W18" s="3" t="s">
        <v>37</v>
      </c>
      <c r="X18" s="3" t="s">
        <v>103</v>
      </c>
      <c r="Y18" s="3" t="s">
        <v>33</v>
      </c>
      <c r="Z18" s="6">
        <v>5</v>
      </c>
      <c r="AA18" s="3" t="s">
        <v>39</v>
      </c>
      <c r="AB18" s="3" t="s">
        <v>33</v>
      </c>
      <c r="AC18" s="3" t="s">
        <v>104</v>
      </c>
    </row>
    <row r="19" spans="1:29" ht="48">
      <c r="A19" s="3" t="s">
        <v>105</v>
      </c>
      <c r="B19" s="6">
        <v>30</v>
      </c>
      <c r="C19" s="3" t="s">
        <v>30</v>
      </c>
      <c r="D19" s="4">
        <v>25.6</v>
      </c>
      <c r="E19" s="3" t="s">
        <v>42</v>
      </c>
      <c r="F19" s="3" t="s">
        <v>33</v>
      </c>
      <c r="G19" s="3" t="s">
        <v>32</v>
      </c>
      <c r="H19" s="3" t="s">
        <v>33</v>
      </c>
      <c r="I19" s="3" t="s">
        <v>58</v>
      </c>
      <c r="J19" s="3" t="s">
        <v>85</v>
      </c>
      <c r="K19" s="6">
        <v>114</v>
      </c>
      <c r="L19" s="6">
        <v>86</v>
      </c>
      <c r="M19" s="6">
        <v>59</v>
      </c>
      <c r="N19" s="6">
        <v>94</v>
      </c>
      <c r="O19" s="6">
        <v>21</v>
      </c>
      <c r="P19" s="6">
        <v>266</v>
      </c>
      <c r="Q19" s="6">
        <v>570</v>
      </c>
      <c r="R19" s="6">
        <v>167</v>
      </c>
      <c r="S19" s="5">
        <v>0.75</v>
      </c>
      <c r="T19" s="3" t="s">
        <v>94</v>
      </c>
      <c r="U19" s="6">
        <v>24</v>
      </c>
      <c r="V19" s="3" t="s">
        <v>33</v>
      </c>
      <c r="W19" s="3" t="s">
        <v>37</v>
      </c>
      <c r="X19" s="3" t="s">
        <v>106</v>
      </c>
      <c r="Y19" s="3" t="s">
        <v>33</v>
      </c>
      <c r="Z19" s="6">
        <v>6</v>
      </c>
      <c r="AA19" s="3" t="s">
        <v>39</v>
      </c>
      <c r="AB19" s="3" t="s">
        <v>33</v>
      </c>
      <c r="AC19" s="3" t="s">
        <v>86</v>
      </c>
    </row>
    <row r="20" spans="1:29" ht="48">
      <c r="A20" s="3" t="s">
        <v>107</v>
      </c>
      <c r="B20" s="6">
        <v>24</v>
      </c>
      <c r="C20" s="3" t="s">
        <v>49</v>
      </c>
      <c r="D20" s="4">
        <v>29.8</v>
      </c>
      <c r="E20" s="3" t="s">
        <v>42</v>
      </c>
      <c r="F20" s="3" t="s">
        <v>33</v>
      </c>
      <c r="G20" s="3" t="s">
        <v>33</v>
      </c>
      <c r="H20" s="3" t="s">
        <v>32</v>
      </c>
      <c r="I20" s="3" t="s">
        <v>102</v>
      </c>
      <c r="J20" s="3" t="s">
        <v>52</v>
      </c>
      <c r="K20" s="6">
        <v>172</v>
      </c>
      <c r="L20" s="6">
        <v>111</v>
      </c>
      <c r="M20" s="6">
        <v>95</v>
      </c>
      <c r="N20" s="6">
        <v>95</v>
      </c>
      <c r="O20" s="6">
        <v>34</v>
      </c>
      <c r="P20" s="6">
        <v>241</v>
      </c>
      <c r="Q20" s="6">
        <v>92</v>
      </c>
      <c r="R20" s="6">
        <v>204</v>
      </c>
      <c r="S20" s="5">
        <v>1.1000000000000001</v>
      </c>
      <c r="T20" s="3" t="s">
        <v>81</v>
      </c>
      <c r="U20" s="6">
        <v>63</v>
      </c>
      <c r="V20" s="3" t="s">
        <v>33</v>
      </c>
      <c r="W20" s="3" t="s">
        <v>37</v>
      </c>
      <c r="X20" s="3" t="s">
        <v>108</v>
      </c>
      <c r="Y20" s="3" t="s">
        <v>33</v>
      </c>
      <c r="Z20" s="6">
        <v>4</v>
      </c>
      <c r="AA20" s="3" t="s">
        <v>39</v>
      </c>
      <c r="AB20" s="3" t="s">
        <v>32</v>
      </c>
      <c r="AC20" s="3" t="s">
        <v>109</v>
      </c>
    </row>
    <row r="21" spans="1:29" ht="48">
      <c r="A21" s="3" t="s">
        <v>110</v>
      </c>
      <c r="B21" s="6">
        <v>46</v>
      </c>
      <c r="C21" s="3" t="s">
        <v>49</v>
      </c>
      <c r="D21" s="4">
        <v>22</v>
      </c>
      <c r="E21" s="3" t="s">
        <v>31</v>
      </c>
      <c r="F21" s="3" t="s">
        <v>32</v>
      </c>
      <c r="G21" s="3" t="s">
        <v>33</v>
      </c>
      <c r="H21" s="3" t="s">
        <v>32</v>
      </c>
      <c r="I21" s="3" t="s">
        <v>43</v>
      </c>
      <c r="J21" s="3" t="s">
        <v>85</v>
      </c>
      <c r="K21" s="6">
        <v>118</v>
      </c>
      <c r="L21" s="6">
        <v>73</v>
      </c>
      <c r="M21" s="6">
        <v>85</v>
      </c>
      <c r="N21" s="6">
        <v>99</v>
      </c>
      <c r="O21" s="6">
        <v>37</v>
      </c>
      <c r="P21" s="6">
        <v>1039</v>
      </c>
      <c r="Q21" s="6">
        <v>397</v>
      </c>
      <c r="R21" s="6">
        <v>94</v>
      </c>
      <c r="S21" s="5">
        <v>0.98</v>
      </c>
      <c r="T21" s="3" t="s">
        <v>77</v>
      </c>
      <c r="U21" s="6">
        <v>63</v>
      </c>
      <c r="V21" s="3" t="s">
        <v>33</v>
      </c>
      <c r="W21" s="3" t="s">
        <v>37</v>
      </c>
      <c r="X21" s="3" t="s">
        <v>111</v>
      </c>
      <c r="Y21" s="3" t="s">
        <v>33</v>
      </c>
      <c r="Z21" s="6">
        <v>5</v>
      </c>
      <c r="AA21" s="3" t="s">
        <v>39</v>
      </c>
      <c r="AB21" s="3" t="s">
        <v>33</v>
      </c>
      <c r="AC21" s="3" t="s">
        <v>112</v>
      </c>
    </row>
    <row r="22" spans="1:29" ht="48">
      <c r="A22" s="3" t="s">
        <v>113</v>
      </c>
      <c r="B22" s="6">
        <v>53</v>
      </c>
      <c r="C22" s="3" t="s">
        <v>30</v>
      </c>
      <c r="D22" s="4">
        <v>28.9</v>
      </c>
      <c r="E22" s="3" t="s">
        <v>50</v>
      </c>
      <c r="F22" s="3" t="s">
        <v>32</v>
      </c>
      <c r="G22" s="3" t="s">
        <v>32</v>
      </c>
      <c r="H22" s="3" t="s">
        <v>32</v>
      </c>
      <c r="I22" s="3" t="s">
        <v>58</v>
      </c>
      <c r="J22" s="3" t="s">
        <v>85</v>
      </c>
      <c r="K22" s="6">
        <v>122</v>
      </c>
      <c r="L22" s="6">
        <v>74</v>
      </c>
      <c r="M22" s="6">
        <v>109</v>
      </c>
      <c r="N22" s="6">
        <v>98</v>
      </c>
      <c r="O22" s="6">
        <v>26</v>
      </c>
      <c r="P22" s="6">
        <v>1236</v>
      </c>
      <c r="Q22" s="6">
        <v>1164</v>
      </c>
      <c r="R22" s="6">
        <v>102</v>
      </c>
      <c r="S22" s="5">
        <v>1.19</v>
      </c>
      <c r="T22" s="3" t="s">
        <v>81</v>
      </c>
      <c r="U22" s="6">
        <v>46</v>
      </c>
      <c r="V22" s="3" t="s">
        <v>33</v>
      </c>
      <c r="W22" s="3" t="s">
        <v>37</v>
      </c>
      <c r="X22" s="3" t="s">
        <v>60</v>
      </c>
      <c r="Y22" s="3" t="s">
        <v>33</v>
      </c>
      <c r="Z22" s="6">
        <v>3</v>
      </c>
      <c r="AA22" s="3" t="s">
        <v>39</v>
      </c>
      <c r="AB22" s="3" t="s">
        <v>32</v>
      </c>
      <c r="AC22" s="3" t="s">
        <v>86</v>
      </c>
    </row>
    <row r="23" spans="1:29" ht="48">
      <c r="A23" s="3" t="s">
        <v>114</v>
      </c>
      <c r="B23" s="6">
        <v>71</v>
      </c>
      <c r="C23" s="3" t="s">
        <v>30</v>
      </c>
      <c r="D23" s="4">
        <v>30.6</v>
      </c>
      <c r="E23" s="3" t="s">
        <v>31</v>
      </c>
      <c r="F23" s="3" t="s">
        <v>33</v>
      </c>
      <c r="G23" s="3" t="s">
        <v>33</v>
      </c>
      <c r="H23" s="3" t="s">
        <v>32</v>
      </c>
      <c r="I23" s="3" t="s">
        <v>68</v>
      </c>
      <c r="J23" s="3" t="s">
        <v>90</v>
      </c>
      <c r="K23" s="6">
        <v>141</v>
      </c>
      <c r="L23" s="6">
        <v>85</v>
      </c>
      <c r="M23" s="6">
        <v>85</v>
      </c>
      <c r="N23" s="6">
        <v>97</v>
      </c>
      <c r="O23" s="6">
        <v>60</v>
      </c>
      <c r="P23" s="6">
        <v>423</v>
      </c>
      <c r="Q23" s="6">
        <v>260</v>
      </c>
      <c r="R23" s="6">
        <v>143</v>
      </c>
      <c r="S23" s="5">
        <v>1.01</v>
      </c>
      <c r="T23" s="3" t="s">
        <v>94</v>
      </c>
      <c r="U23" s="6">
        <v>56</v>
      </c>
      <c r="V23" s="3" t="s">
        <v>33</v>
      </c>
      <c r="W23" s="3" t="s">
        <v>37</v>
      </c>
      <c r="X23" s="3" t="s">
        <v>82</v>
      </c>
      <c r="Y23" s="3" t="s">
        <v>33</v>
      </c>
      <c r="Z23" s="6">
        <v>7</v>
      </c>
      <c r="AA23" s="3" t="s">
        <v>39</v>
      </c>
      <c r="AB23" s="3" t="s">
        <v>33</v>
      </c>
      <c r="AC23" s="3" t="s">
        <v>115</v>
      </c>
    </row>
    <row r="24" spans="1:29" ht="48">
      <c r="A24" s="3" t="s">
        <v>116</v>
      </c>
      <c r="B24" s="6">
        <v>70</v>
      </c>
      <c r="C24" s="3" t="s">
        <v>49</v>
      </c>
      <c r="D24" s="4">
        <v>31.2</v>
      </c>
      <c r="E24" s="3" t="s">
        <v>42</v>
      </c>
      <c r="F24" s="3" t="s">
        <v>32</v>
      </c>
      <c r="G24" s="3" t="s">
        <v>32</v>
      </c>
      <c r="H24" s="3" t="s">
        <v>32</v>
      </c>
      <c r="I24" s="3" t="s">
        <v>68</v>
      </c>
      <c r="J24" s="3" t="s">
        <v>44</v>
      </c>
      <c r="K24" s="6">
        <v>160</v>
      </c>
      <c r="L24" s="6">
        <v>86</v>
      </c>
      <c r="M24" s="6">
        <v>81</v>
      </c>
      <c r="N24" s="6">
        <v>93</v>
      </c>
      <c r="O24" s="6">
        <v>28</v>
      </c>
      <c r="P24" s="6">
        <v>842</v>
      </c>
      <c r="Q24" s="6">
        <v>224</v>
      </c>
      <c r="R24" s="6">
        <v>91</v>
      </c>
      <c r="S24" s="5">
        <v>1.1100000000000001</v>
      </c>
      <c r="T24" s="3" t="s">
        <v>117</v>
      </c>
      <c r="U24" s="6">
        <v>70</v>
      </c>
      <c r="V24" s="3" t="s">
        <v>33</v>
      </c>
      <c r="W24" s="3" t="s">
        <v>37</v>
      </c>
      <c r="X24" s="3" t="s">
        <v>82</v>
      </c>
      <c r="Y24" s="3" t="s">
        <v>33</v>
      </c>
      <c r="Z24" s="6">
        <v>4</v>
      </c>
      <c r="AA24" s="3" t="s">
        <v>39</v>
      </c>
      <c r="AB24" s="3" t="s">
        <v>33</v>
      </c>
      <c r="AC24" s="3" t="s">
        <v>70</v>
      </c>
    </row>
    <row r="25" spans="1:29" ht="48">
      <c r="A25" s="3" t="s">
        <v>118</v>
      </c>
      <c r="B25" s="6">
        <v>57</v>
      </c>
      <c r="C25" s="3" t="s">
        <v>49</v>
      </c>
      <c r="D25" s="4">
        <v>25.6</v>
      </c>
      <c r="E25" s="3" t="s">
        <v>31</v>
      </c>
      <c r="F25" s="3" t="s">
        <v>32</v>
      </c>
      <c r="G25" s="3" t="s">
        <v>33</v>
      </c>
      <c r="H25" s="3" t="s">
        <v>32</v>
      </c>
      <c r="I25" s="3" t="s">
        <v>68</v>
      </c>
      <c r="J25" s="3" t="s">
        <v>90</v>
      </c>
      <c r="K25" s="6">
        <v>144</v>
      </c>
      <c r="L25" s="6">
        <v>79</v>
      </c>
      <c r="M25" s="6">
        <v>71</v>
      </c>
      <c r="N25" s="6">
        <v>99</v>
      </c>
      <c r="O25" s="6">
        <v>4</v>
      </c>
      <c r="P25" s="6">
        <v>1020</v>
      </c>
      <c r="Q25" s="6">
        <v>266</v>
      </c>
      <c r="R25" s="6">
        <v>119</v>
      </c>
      <c r="S25" s="5">
        <v>1.07</v>
      </c>
      <c r="T25" s="3" t="s">
        <v>81</v>
      </c>
      <c r="U25" s="6">
        <v>54</v>
      </c>
      <c r="V25" s="3" t="s">
        <v>33</v>
      </c>
      <c r="W25" s="3" t="s">
        <v>37</v>
      </c>
      <c r="X25" s="3" t="s">
        <v>82</v>
      </c>
      <c r="Y25" s="3" t="s">
        <v>33</v>
      </c>
      <c r="Z25" s="6">
        <v>4</v>
      </c>
      <c r="AA25" s="3" t="s">
        <v>39</v>
      </c>
      <c r="AB25" s="3" t="s">
        <v>33</v>
      </c>
      <c r="AC25" s="3" t="s">
        <v>115</v>
      </c>
    </row>
    <row r="26" spans="1:29" ht="48">
      <c r="A26" s="3" t="s">
        <v>119</v>
      </c>
      <c r="B26" s="6">
        <v>25</v>
      </c>
      <c r="C26" s="3" t="s">
        <v>30</v>
      </c>
      <c r="D26" s="4">
        <v>35.799999999999997</v>
      </c>
      <c r="E26" s="3" t="s">
        <v>42</v>
      </c>
      <c r="F26" s="3" t="s">
        <v>32</v>
      </c>
      <c r="G26" s="3" t="s">
        <v>32</v>
      </c>
      <c r="H26" s="3" t="s">
        <v>33</v>
      </c>
      <c r="I26" s="3" t="s">
        <v>76</v>
      </c>
      <c r="J26" s="3" t="s">
        <v>90</v>
      </c>
      <c r="K26" s="6">
        <v>148</v>
      </c>
      <c r="L26" s="6">
        <v>85</v>
      </c>
      <c r="M26" s="6">
        <v>100</v>
      </c>
      <c r="N26" s="6">
        <v>91</v>
      </c>
      <c r="O26" s="6">
        <v>350</v>
      </c>
      <c r="P26" s="6">
        <v>1373</v>
      </c>
      <c r="Q26" s="6">
        <v>218</v>
      </c>
      <c r="R26" s="6">
        <v>115</v>
      </c>
      <c r="S26" s="5">
        <v>0.85</v>
      </c>
      <c r="T26" s="3" t="s">
        <v>45</v>
      </c>
      <c r="U26" s="6">
        <v>44</v>
      </c>
      <c r="V26" s="3" t="s">
        <v>33</v>
      </c>
      <c r="W26" s="3" t="s">
        <v>37</v>
      </c>
      <c r="X26" s="3" t="s">
        <v>78</v>
      </c>
      <c r="Y26" s="3" t="s">
        <v>33</v>
      </c>
      <c r="Z26" s="6">
        <v>4</v>
      </c>
      <c r="AA26" s="3" t="s">
        <v>39</v>
      </c>
      <c r="AB26" s="3" t="s">
        <v>33</v>
      </c>
      <c r="AC26" s="3" t="s">
        <v>100</v>
      </c>
    </row>
    <row r="27" spans="1:29" ht="48">
      <c r="A27" s="3" t="s">
        <v>120</v>
      </c>
      <c r="B27" s="6">
        <v>40</v>
      </c>
      <c r="C27" s="3" t="s">
        <v>30</v>
      </c>
      <c r="D27" s="4">
        <v>32.799999999999997</v>
      </c>
      <c r="E27" s="3" t="s">
        <v>50</v>
      </c>
      <c r="F27" s="3" t="s">
        <v>32</v>
      </c>
      <c r="G27" s="3" t="s">
        <v>33</v>
      </c>
      <c r="H27" s="3" t="s">
        <v>33</v>
      </c>
      <c r="I27" s="3" t="s">
        <v>102</v>
      </c>
      <c r="J27" s="3" t="s">
        <v>35</v>
      </c>
      <c r="K27" s="6">
        <v>195</v>
      </c>
      <c r="L27" s="6">
        <v>74</v>
      </c>
      <c r="M27" s="6">
        <v>85</v>
      </c>
      <c r="N27" s="6">
        <v>99</v>
      </c>
      <c r="O27" s="6">
        <v>16</v>
      </c>
      <c r="P27" s="6">
        <v>696</v>
      </c>
      <c r="Q27" s="6">
        <v>123</v>
      </c>
      <c r="R27" s="6">
        <v>65</v>
      </c>
      <c r="S27" s="5">
        <v>0.83</v>
      </c>
      <c r="T27" s="3" t="s">
        <v>81</v>
      </c>
      <c r="U27" s="6">
        <v>57</v>
      </c>
      <c r="V27" s="3" t="s">
        <v>33</v>
      </c>
      <c r="W27" s="3" t="s">
        <v>37</v>
      </c>
      <c r="X27" s="3" t="s">
        <v>121</v>
      </c>
      <c r="Y27" s="3" t="s">
        <v>33</v>
      </c>
      <c r="Z27" s="6">
        <v>3</v>
      </c>
      <c r="AA27" s="3" t="s">
        <v>39</v>
      </c>
      <c r="AB27" s="3" t="s">
        <v>33</v>
      </c>
      <c r="AC27" s="3" t="s">
        <v>122</v>
      </c>
    </row>
    <row r="28" spans="1:29" ht="48">
      <c r="A28" s="3" t="s">
        <v>123</v>
      </c>
      <c r="B28" s="6">
        <v>61</v>
      </c>
      <c r="C28" s="3" t="s">
        <v>30</v>
      </c>
      <c r="D28" s="4">
        <v>27</v>
      </c>
      <c r="E28" s="3" t="s">
        <v>31</v>
      </c>
      <c r="F28" s="3" t="s">
        <v>32</v>
      </c>
      <c r="G28" s="3" t="s">
        <v>33</v>
      </c>
      <c r="H28" s="3" t="s">
        <v>32</v>
      </c>
      <c r="I28" s="3" t="s">
        <v>76</v>
      </c>
      <c r="J28" s="3" t="s">
        <v>59</v>
      </c>
      <c r="K28" s="6">
        <v>160</v>
      </c>
      <c r="L28" s="6">
        <v>101</v>
      </c>
      <c r="M28" s="6">
        <v>79</v>
      </c>
      <c r="N28" s="6">
        <v>96</v>
      </c>
      <c r="O28" s="6">
        <v>176</v>
      </c>
      <c r="P28" s="6">
        <v>949</v>
      </c>
      <c r="Q28" s="6">
        <v>233</v>
      </c>
      <c r="R28" s="6">
        <v>133</v>
      </c>
      <c r="S28" s="5">
        <v>0.87</v>
      </c>
      <c r="T28" s="3" t="s">
        <v>45</v>
      </c>
      <c r="U28" s="6">
        <v>56</v>
      </c>
      <c r="V28" s="3" t="s">
        <v>33</v>
      </c>
      <c r="W28" s="3" t="s">
        <v>37</v>
      </c>
      <c r="X28" s="3" t="s">
        <v>124</v>
      </c>
      <c r="Y28" s="3" t="s">
        <v>32</v>
      </c>
      <c r="Z28" s="6">
        <v>7</v>
      </c>
      <c r="AA28" s="3" t="s">
        <v>39</v>
      </c>
      <c r="AB28" s="3" t="s">
        <v>33</v>
      </c>
      <c r="AC28" s="3" t="s">
        <v>97</v>
      </c>
    </row>
    <row r="29" spans="1:29" ht="48">
      <c r="A29" s="3" t="s">
        <v>125</v>
      </c>
      <c r="B29" s="6">
        <v>30</v>
      </c>
      <c r="C29" s="3" t="s">
        <v>30</v>
      </c>
      <c r="D29" s="4">
        <v>37.1</v>
      </c>
      <c r="E29" s="3" t="s">
        <v>42</v>
      </c>
      <c r="F29" s="3" t="s">
        <v>33</v>
      </c>
      <c r="G29" s="3" t="s">
        <v>33</v>
      </c>
      <c r="H29" s="3" t="s">
        <v>32</v>
      </c>
      <c r="I29" s="3" t="s">
        <v>43</v>
      </c>
      <c r="J29" s="3" t="s">
        <v>85</v>
      </c>
      <c r="K29" s="6">
        <v>147</v>
      </c>
      <c r="L29" s="6">
        <v>79</v>
      </c>
      <c r="M29" s="6">
        <v>95</v>
      </c>
      <c r="N29" s="6">
        <v>95</v>
      </c>
      <c r="O29" s="6">
        <v>48</v>
      </c>
      <c r="P29" s="6">
        <v>786</v>
      </c>
      <c r="Q29" s="6">
        <v>402</v>
      </c>
      <c r="R29" s="6">
        <v>154</v>
      </c>
      <c r="S29" s="5">
        <v>0.93</v>
      </c>
      <c r="T29" s="3" t="s">
        <v>77</v>
      </c>
      <c r="U29" s="6">
        <v>51</v>
      </c>
      <c r="V29" s="3" t="s">
        <v>33</v>
      </c>
      <c r="W29" s="3" t="s">
        <v>37</v>
      </c>
      <c r="X29" s="3" t="s">
        <v>126</v>
      </c>
      <c r="Y29" s="3" t="s">
        <v>33</v>
      </c>
      <c r="Z29" s="6">
        <v>7</v>
      </c>
      <c r="AA29" s="3" t="s">
        <v>73</v>
      </c>
      <c r="AB29" s="3" t="s">
        <v>32</v>
      </c>
      <c r="AC29" s="3" t="s">
        <v>112</v>
      </c>
    </row>
    <row r="30" spans="1:29" ht="48">
      <c r="A30" s="3" t="s">
        <v>127</v>
      </c>
      <c r="B30" s="6">
        <v>79</v>
      </c>
      <c r="C30" s="3" t="s">
        <v>49</v>
      </c>
      <c r="D30" s="4">
        <v>27.5</v>
      </c>
      <c r="E30" s="3" t="s">
        <v>50</v>
      </c>
      <c r="F30" s="3" t="s">
        <v>33</v>
      </c>
      <c r="G30" s="3" t="s">
        <v>33</v>
      </c>
      <c r="H30" s="3" t="s">
        <v>32</v>
      </c>
      <c r="I30" s="3" t="s">
        <v>58</v>
      </c>
      <c r="J30" s="3" t="s">
        <v>59</v>
      </c>
      <c r="K30" s="6">
        <v>106</v>
      </c>
      <c r="L30" s="6">
        <v>94</v>
      </c>
      <c r="M30" s="6">
        <v>85</v>
      </c>
      <c r="N30" s="6">
        <v>96</v>
      </c>
      <c r="O30" s="6">
        <v>86</v>
      </c>
      <c r="P30" s="6">
        <v>2778</v>
      </c>
      <c r="Q30" s="6">
        <v>464</v>
      </c>
      <c r="R30" s="6">
        <v>50</v>
      </c>
      <c r="S30" s="5">
        <v>1.05</v>
      </c>
      <c r="T30" s="3" t="s">
        <v>81</v>
      </c>
      <c r="U30" s="6">
        <v>61</v>
      </c>
      <c r="V30" s="3" t="s">
        <v>33</v>
      </c>
      <c r="W30" s="3" t="s">
        <v>37</v>
      </c>
      <c r="X30" s="3" t="s">
        <v>60</v>
      </c>
      <c r="Y30" s="3" t="s">
        <v>33</v>
      </c>
      <c r="Z30" s="6">
        <v>5</v>
      </c>
      <c r="AA30" s="3" t="s">
        <v>39</v>
      </c>
      <c r="AB30" s="3" t="s">
        <v>33</v>
      </c>
      <c r="AC30" s="3" t="s">
        <v>62</v>
      </c>
    </row>
    <row r="31" spans="1:29" ht="48">
      <c r="A31" s="3" t="s">
        <v>128</v>
      </c>
      <c r="B31" s="6">
        <v>76</v>
      </c>
      <c r="C31" s="3" t="s">
        <v>30</v>
      </c>
      <c r="D31" s="4">
        <v>27.8</v>
      </c>
      <c r="E31" s="3" t="s">
        <v>42</v>
      </c>
      <c r="F31" s="3" t="s">
        <v>32</v>
      </c>
      <c r="G31" s="3" t="s">
        <v>32</v>
      </c>
      <c r="H31" s="3" t="s">
        <v>32</v>
      </c>
      <c r="I31" s="3" t="s">
        <v>34</v>
      </c>
      <c r="J31" s="3" t="s">
        <v>59</v>
      </c>
      <c r="K31" s="6">
        <v>135</v>
      </c>
      <c r="L31" s="6">
        <v>89</v>
      </c>
      <c r="M31" s="6">
        <v>139</v>
      </c>
      <c r="N31" s="6">
        <v>96</v>
      </c>
      <c r="O31" s="6">
        <v>16</v>
      </c>
      <c r="P31" s="6">
        <v>1246</v>
      </c>
      <c r="Q31" s="6">
        <v>68</v>
      </c>
      <c r="R31" s="6">
        <v>134</v>
      </c>
      <c r="S31" s="5">
        <v>1.0900000000000001</v>
      </c>
      <c r="T31" s="3" t="s">
        <v>36</v>
      </c>
      <c r="U31" s="6">
        <v>46</v>
      </c>
      <c r="V31" s="3" t="s">
        <v>33</v>
      </c>
      <c r="W31" s="3" t="s">
        <v>37</v>
      </c>
      <c r="X31" s="3" t="s">
        <v>129</v>
      </c>
      <c r="Y31" s="3" t="s">
        <v>33</v>
      </c>
      <c r="Z31" s="6">
        <v>8</v>
      </c>
      <c r="AA31" s="3" t="s">
        <v>39</v>
      </c>
      <c r="AB31" s="3" t="s">
        <v>33</v>
      </c>
      <c r="AC31" s="3" t="s">
        <v>74</v>
      </c>
    </row>
    <row r="32" spans="1:29" ht="48">
      <c r="A32" s="3" t="s">
        <v>130</v>
      </c>
      <c r="B32" s="6">
        <v>26</v>
      </c>
      <c r="C32" s="3" t="s">
        <v>49</v>
      </c>
      <c r="D32" s="4">
        <v>24.9</v>
      </c>
      <c r="E32" s="3" t="s">
        <v>42</v>
      </c>
      <c r="F32" s="3" t="s">
        <v>32</v>
      </c>
      <c r="G32" s="3" t="s">
        <v>33</v>
      </c>
      <c r="H32" s="3" t="s">
        <v>33</v>
      </c>
      <c r="I32" s="3" t="s">
        <v>43</v>
      </c>
      <c r="J32" s="3" t="s">
        <v>131</v>
      </c>
      <c r="K32" s="6">
        <v>105</v>
      </c>
      <c r="L32" s="6">
        <v>94</v>
      </c>
      <c r="M32" s="6">
        <v>67</v>
      </c>
      <c r="N32" s="6">
        <v>99</v>
      </c>
      <c r="O32" s="6">
        <v>111</v>
      </c>
      <c r="P32" s="6">
        <v>702</v>
      </c>
      <c r="Q32" s="6">
        <v>190</v>
      </c>
      <c r="R32" s="6">
        <v>138</v>
      </c>
      <c r="S32" s="5">
        <v>1.2</v>
      </c>
      <c r="T32" s="3" t="s">
        <v>94</v>
      </c>
      <c r="U32" s="6">
        <v>57</v>
      </c>
      <c r="V32" s="3" t="s">
        <v>33</v>
      </c>
      <c r="W32" s="3" t="s">
        <v>37</v>
      </c>
      <c r="X32" s="3" t="s">
        <v>111</v>
      </c>
      <c r="Y32" s="3" t="s">
        <v>33</v>
      </c>
      <c r="Z32" s="6">
        <v>6</v>
      </c>
      <c r="AA32" s="3" t="s">
        <v>39</v>
      </c>
      <c r="AB32" s="3" t="s">
        <v>33</v>
      </c>
      <c r="AC32" s="3" t="s">
        <v>132</v>
      </c>
    </row>
    <row r="33" spans="1:29" ht="48">
      <c r="A33" s="3" t="s">
        <v>133</v>
      </c>
      <c r="B33" s="6">
        <v>39</v>
      </c>
      <c r="C33" s="3" t="s">
        <v>49</v>
      </c>
      <c r="D33" s="4">
        <v>25.8</v>
      </c>
      <c r="E33" s="3" t="s">
        <v>42</v>
      </c>
      <c r="F33" s="3" t="s">
        <v>33</v>
      </c>
      <c r="G33" s="3" t="s">
        <v>33</v>
      </c>
      <c r="H33" s="3" t="s">
        <v>33</v>
      </c>
      <c r="I33" s="3" t="s">
        <v>68</v>
      </c>
      <c r="J33" s="3" t="s">
        <v>90</v>
      </c>
      <c r="K33" s="6">
        <v>83</v>
      </c>
      <c r="L33" s="6">
        <v>66</v>
      </c>
      <c r="M33" s="6">
        <v>56</v>
      </c>
      <c r="N33" s="6">
        <v>94</v>
      </c>
      <c r="O33" s="6">
        <v>29</v>
      </c>
      <c r="P33" s="6">
        <v>350</v>
      </c>
      <c r="Q33" s="6">
        <v>209</v>
      </c>
      <c r="R33" s="6">
        <v>107</v>
      </c>
      <c r="S33" s="5">
        <v>0.83</v>
      </c>
      <c r="T33" s="3" t="s">
        <v>64</v>
      </c>
      <c r="U33" s="6">
        <v>64</v>
      </c>
      <c r="V33" s="3" t="s">
        <v>33</v>
      </c>
      <c r="W33" s="3" t="s">
        <v>37</v>
      </c>
      <c r="X33" s="3" t="s">
        <v>82</v>
      </c>
      <c r="Y33" s="3" t="s">
        <v>32</v>
      </c>
      <c r="Z33" s="6">
        <v>7</v>
      </c>
      <c r="AA33" s="3" t="s">
        <v>39</v>
      </c>
      <c r="AB33" s="3" t="s">
        <v>33</v>
      </c>
      <c r="AC33" s="3" t="s">
        <v>115</v>
      </c>
    </row>
    <row r="34" spans="1:29" ht="48">
      <c r="A34" s="3" t="s">
        <v>134</v>
      </c>
      <c r="B34" s="6">
        <v>45</v>
      </c>
      <c r="C34" s="3" t="s">
        <v>49</v>
      </c>
      <c r="D34" s="4">
        <v>24.3</v>
      </c>
      <c r="E34" s="3" t="s">
        <v>50</v>
      </c>
      <c r="F34" s="3" t="s">
        <v>32</v>
      </c>
      <c r="G34" s="3" t="s">
        <v>32</v>
      </c>
      <c r="H34" s="3" t="s">
        <v>33</v>
      </c>
      <c r="I34" s="3" t="s">
        <v>102</v>
      </c>
      <c r="J34" s="3" t="s">
        <v>52</v>
      </c>
      <c r="K34" s="6">
        <v>151</v>
      </c>
      <c r="L34" s="6">
        <v>75</v>
      </c>
      <c r="M34" s="6">
        <v>47</v>
      </c>
      <c r="N34" s="6">
        <v>97</v>
      </c>
      <c r="O34" s="6">
        <v>16</v>
      </c>
      <c r="P34" s="6">
        <v>359</v>
      </c>
      <c r="Q34" s="6">
        <v>99</v>
      </c>
      <c r="R34" s="6">
        <v>50</v>
      </c>
      <c r="S34" s="5">
        <v>0.64</v>
      </c>
      <c r="T34" s="3" t="s">
        <v>64</v>
      </c>
      <c r="U34" s="6">
        <v>63</v>
      </c>
      <c r="V34" s="3" t="s">
        <v>33</v>
      </c>
      <c r="W34" s="3" t="s">
        <v>37</v>
      </c>
      <c r="X34" s="3" t="s">
        <v>108</v>
      </c>
      <c r="Y34" s="3" t="s">
        <v>33</v>
      </c>
      <c r="Z34" s="6">
        <v>6</v>
      </c>
      <c r="AA34" s="3" t="s">
        <v>39</v>
      </c>
      <c r="AB34" s="3" t="s">
        <v>33</v>
      </c>
      <c r="AC34" s="3" t="s">
        <v>109</v>
      </c>
    </row>
    <row r="35" spans="1:29" ht="48">
      <c r="A35" s="3" t="s">
        <v>135</v>
      </c>
      <c r="B35" s="6">
        <v>27</v>
      </c>
      <c r="C35" s="3" t="s">
        <v>49</v>
      </c>
      <c r="D35" s="4">
        <v>26.5</v>
      </c>
      <c r="E35" s="3" t="s">
        <v>31</v>
      </c>
      <c r="F35" s="3" t="s">
        <v>32</v>
      </c>
      <c r="G35" s="3" t="s">
        <v>33</v>
      </c>
      <c r="H35" s="3" t="s">
        <v>33</v>
      </c>
      <c r="I35" s="3" t="s">
        <v>102</v>
      </c>
      <c r="J35" s="3" t="s">
        <v>59</v>
      </c>
      <c r="K35" s="6">
        <v>100</v>
      </c>
      <c r="L35" s="6">
        <v>72</v>
      </c>
      <c r="M35" s="6">
        <v>67</v>
      </c>
      <c r="N35" s="6">
        <v>92</v>
      </c>
      <c r="O35" s="6">
        <v>24</v>
      </c>
      <c r="P35" s="6">
        <v>411</v>
      </c>
      <c r="Q35" s="6">
        <v>164</v>
      </c>
      <c r="R35" s="6">
        <v>157</v>
      </c>
      <c r="S35" s="5">
        <v>1.24</v>
      </c>
      <c r="T35" s="3" t="s">
        <v>117</v>
      </c>
      <c r="U35" s="6">
        <v>62</v>
      </c>
      <c r="V35" s="3" t="s">
        <v>33</v>
      </c>
      <c r="W35" s="3" t="s">
        <v>37</v>
      </c>
      <c r="X35" s="3" t="s">
        <v>103</v>
      </c>
      <c r="Y35" s="3" t="s">
        <v>33</v>
      </c>
      <c r="Z35" s="6">
        <v>6</v>
      </c>
      <c r="AA35" s="3" t="s">
        <v>39</v>
      </c>
      <c r="AB35" s="3" t="s">
        <v>33</v>
      </c>
      <c r="AC35" s="3" t="s">
        <v>136</v>
      </c>
    </row>
    <row r="36" spans="1:29" ht="48">
      <c r="A36" s="3" t="s">
        <v>137</v>
      </c>
      <c r="B36" s="6">
        <v>71</v>
      </c>
      <c r="C36" s="3" t="s">
        <v>30</v>
      </c>
      <c r="D36" s="4">
        <v>27</v>
      </c>
      <c r="E36" s="3" t="s">
        <v>50</v>
      </c>
      <c r="F36" s="3" t="s">
        <v>32</v>
      </c>
      <c r="G36" s="3" t="s">
        <v>33</v>
      </c>
      <c r="H36" s="3" t="s">
        <v>32</v>
      </c>
      <c r="I36" s="3" t="s">
        <v>43</v>
      </c>
      <c r="J36" s="3" t="s">
        <v>131</v>
      </c>
      <c r="K36" s="6">
        <v>125</v>
      </c>
      <c r="L36" s="6">
        <v>68</v>
      </c>
      <c r="M36" s="6">
        <v>86</v>
      </c>
      <c r="N36" s="6">
        <v>94</v>
      </c>
      <c r="O36" s="6">
        <v>55</v>
      </c>
      <c r="P36" s="6">
        <v>360</v>
      </c>
      <c r="Q36" s="6">
        <v>56</v>
      </c>
      <c r="R36" s="6">
        <v>102</v>
      </c>
      <c r="S36" s="5">
        <v>1.27</v>
      </c>
      <c r="T36" s="3" t="s">
        <v>81</v>
      </c>
      <c r="U36" s="6">
        <v>44</v>
      </c>
      <c r="V36" s="3" t="s">
        <v>33</v>
      </c>
      <c r="W36" s="3" t="s">
        <v>37</v>
      </c>
      <c r="X36" s="3" t="s">
        <v>126</v>
      </c>
      <c r="Y36" s="3" t="s">
        <v>33</v>
      </c>
      <c r="Z36" s="6">
        <v>7</v>
      </c>
      <c r="AA36" s="3" t="s">
        <v>39</v>
      </c>
      <c r="AB36" s="3" t="s">
        <v>32</v>
      </c>
      <c r="AC36" s="3" t="s">
        <v>132</v>
      </c>
    </row>
    <row r="37" spans="1:29" ht="48">
      <c r="A37" s="3" t="s">
        <v>138</v>
      </c>
      <c r="B37" s="6">
        <v>81</v>
      </c>
      <c r="C37" s="3" t="s">
        <v>49</v>
      </c>
      <c r="D37" s="4">
        <v>24.1</v>
      </c>
      <c r="E37" s="3" t="s">
        <v>31</v>
      </c>
      <c r="F37" s="3" t="s">
        <v>32</v>
      </c>
      <c r="G37" s="3" t="s">
        <v>32</v>
      </c>
      <c r="H37" s="3" t="s">
        <v>32</v>
      </c>
      <c r="I37" s="3" t="s">
        <v>58</v>
      </c>
      <c r="J37" s="3" t="s">
        <v>44</v>
      </c>
      <c r="K37" s="6">
        <v>96</v>
      </c>
      <c r="L37" s="6">
        <v>90</v>
      </c>
      <c r="M37" s="6">
        <v>70</v>
      </c>
      <c r="N37" s="6">
        <v>97</v>
      </c>
      <c r="O37" s="6">
        <v>22</v>
      </c>
      <c r="P37" s="6">
        <v>475</v>
      </c>
      <c r="Q37" s="6">
        <v>856</v>
      </c>
      <c r="R37" s="6">
        <v>125</v>
      </c>
      <c r="S37" s="5">
        <v>1.01</v>
      </c>
      <c r="T37" s="3" t="s">
        <v>81</v>
      </c>
      <c r="U37" s="6">
        <v>15</v>
      </c>
      <c r="V37" s="3" t="s">
        <v>33</v>
      </c>
      <c r="W37" s="3" t="s">
        <v>37</v>
      </c>
      <c r="X37" s="3" t="s">
        <v>95</v>
      </c>
      <c r="Y37" s="3" t="s">
        <v>33</v>
      </c>
      <c r="Z37" s="6">
        <v>9</v>
      </c>
      <c r="AA37" s="3" t="s">
        <v>39</v>
      </c>
      <c r="AB37" s="3" t="s">
        <v>33</v>
      </c>
      <c r="AC37" s="3" t="s">
        <v>88</v>
      </c>
    </row>
    <row r="38" spans="1:29" ht="48">
      <c r="A38" s="3" t="s">
        <v>139</v>
      </c>
      <c r="B38" s="6">
        <v>21</v>
      </c>
      <c r="C38" s="3" t="s">
        <v>49</v>
      </c>
      <c r="D38" s="4">
        <v>21.7</v>
      </c>
      <c r="E38" s="3" t="s">
        <v>42</v>
      </c>
      <c r="F38" s="3" t="s">
        <v>33</v>
      </c>
      <c r="G38" s="3" t="s">
        <v>33</v>
      </c>
      <c r="H38" s="3" t="s">
        <v>32</v>
      </c>
      <c r="I38" s="3" t="s">
        <v>51</v>
      </c>
      <c r="J38" s="3" t="s">
        <v>52</v>
      </c>
      <c r="K38" s="6">
        <v>145</v>
      </c>
      <c r="L38" s="6">
        <v>90</v>
      </c>
      <c r="M38" s="6">
        <v>109</v>
      </c>
      <c r="N38" s="6">
        <v>91</v>
      </c>
      <c r="O38" s="6">
        <v>96</v>
      </c>
      <c r="P38" s="6">
        <v>7251</v>
      </c>
      <c r="Q38" s="6">
        <v>285</v>
      </c>
      <c r="R38" s="6">
        <v>97</v>
      </c>
      <c r="S38" s="5">
        <v>0.73</v>
      </c>
      <c r="T38" s="3" t="s">
        <v>64</v>
      </c>
      <c r="U38" s="6">
        <v>56</v>
      </c>
      <c r="V38" s="3" t="s">
        <v>33</v>
      </c>
      <c r="W38" s="3" t="s">
        <v>65</v>
      </c>
      <c r="X38" s="3" t="s">
        <v>140</v>
      </c>
      <c r="Y38" s="3" t="s">
        <v>33</v>
      </c>
      <c r="Z38" s="6">
        <v>6</v>
      </c>
      <c r="AA38" s="3" t="s">
        <v>39</v>
      </c>
      <c r="AB38" s="3" t="s">
        <v>33</v>
      </c>
      <c r="AC38" s="3" t="s">
        <v>56</v>
      </c>
    </row>
    <row r="39" spans="1:29" ht="48">
      <c r="A39" s="3" t="s">
        <v>141</v>
      </c>
      <c r="B39" s="6">
        <v>53</v>
      </c>
      <c r="C39" s="3" t="s">
        <v>49</v>
      </c>
      <c r="D39" s="4">
        <v>18.2</v>
      </c>
      <c r="E39" s="3" t="s">
        <v>50</v>
      </c>
      <c r="F39" s="3" t="s">
        <v>32</v>
      </c>
      <c r="G39" s="3" t="s">
        <v>33</v>
      </c>
      <c r="H39" s="3" t="s">
        <v>33</v>
      </c>
      <c r="I39" s="3" t="s">
        <v>102</v>
      </c>
      <c r="J39" s="3" t="s">
        <v>131</v>
      </c>
      <c r="K39" s="6">
        <v>157</v>
      </c>
      <c r="L39" s="6">
        <v>70</v>
      </c>
      <c r="M39" s="6">
        <v>79</v>
      </c>
      <c r="N39" s="6">
        <v>97</v>
      </c>
      <c r="O39" s="6">
        <v>12</v>
      </c>
      <c r="P39" s="6">
        <v>323</v>
      </c>
      <c r="Q39" s="6">
        <v>143</v>
      </c>
      <c r="R39" s="6">
        <v>198</v>
      </c>
      <c r="S39" s="5">
        <v>0.92</v>
      </c>
      <c r="T39" s="3" t="s">
        <v>53</v>
      </c>
      <c r="U39" s="6">
        <v>62</v>
      </c>
      <c r="V39" s="3" t="s">
        <v>33</v>
      </c>
      <c r="W39" s="3" t="s">
        <v>37</v>
      </c>
      <c r="X39" s="3" t="s">
        <v>121</v>
      </c>
      <c r="Y39" s="3" t="s">
        <v>33</v>
      </c>
      <c r="Z39" s="6">
        <v>2</v>
      </c>
      <c r="AA39" s="3" t="s">
        <v>39</v>
      </c>
      <c r="AB39" s="3" t="s">
        <v>33</v>
      </c>
      <c r="AC39" s="3" t="s">
        <v>142</v>
      </c>
    </row>
    <row r="40" spans="1:29" ht="48">
      <c r="A40" s="3" t="s">
        <v>143</v>
      </c>
      <c r="B40" s="6">
        <v>22</v>
      </c>
      <c r="C40" s="3" t="s">
        <v>30</v>
      </c>
      <c r="D40" s="4">
        <v>23.1</v>
      </c>
      <c r="E40" s="3" t="s">
        <v>50</v>
      </c>
      <c r="F40" s="3" t="s">
        <v>33</v>
      </c>
      <c r="G40" s="3" t="s">
        <v>32</v>
      </c>
      <c r="H40" s="3" t="s">
        <v>33</v>
      </c>
      <c r="I40" s="3" t="s">
        <v>76</v>
      </c>
      <c r="J40" s="3" t="s">
        <v>90</v>
      </c>
      <c r="K40" s="6">
        <v>135</v>
      </c>
      <c r="L40" s="6">
        <v>79</v>
      </c>
      <c r="M40" s="6">
        <v>110</v>
      </c>
      <c r="N40" s="6">
        <v>94</v>
      </c>
      <c r="O40" s="6">
        <v>192</v>
      </c>
      <c r="P40" s="6">
        <v>488</v>
      </c>
      <c r="Q40" s="6">
        <v>940</v>
      </c>
      <c r="R40" s="6">
        <v>140</v>
      </c>
      <c r="S40" s="5">
        <v>0.96</v>
      </c>
      <c r="T40" s="3" t="s">
        <v>77</v>
      </c>
      <c r="U40" s="6">
        <v>59</v>
      </c>
      <c r="V40" s="3" t="s">
        <v>33</v>
      </c>
      <c r="W40" s="3" t="s">
        <v>37</v>
      </c>
      <c r="X40" s="3" t="s">
        <v>78</v>
      </c>
      <c r="Y40" s="3" t="s">
        <v>33</v>
      </c>
      <c r="Z40" s="6">
        <v>7</v>
      </c>
      <c r="AA40" s="3" t="s">
        <v>73</v>
      </c>
      <c r="AB40" s="3" t="s">
        <v>33</v>
      </c>
      <c r="AC40" s="3" t="s">
        <v>100</v>
      </c>
    </row>
    <row r="41" spans="1:29" ht="48">
      <c r="A41" s="3" t="s">
        <v>144</v>
      </c>
      <c r="B41" s="6">
        <v>19</v>
      </c>
      <c r="C41" s="3" t="s">
        <v>49</v>
      </c>
      <c r="D41" s="4">
        <v>30.9</v>
      </c>
      <c r="E41" s="3" t="s">
        <v>42</v>
      </c>
      <c r="F41" s="3" t="s">
        <v>32</v>
      </c>
      <c r="G41" s="3" t="s">
        <v>32</v>
      </c>
      <c r="H41" s="3" t="s">
        <v>32</v>
      </c>
      <c r="I41" s="3" t="s">
        <v>51</v>
      </c>
      <c r="J41" s="3" t="s">
        <v>90</v>
      </c>
      <c r="K41" s="6">
        <v>167</v>
      </c>
      <c r="L41" s="6">
        <v>78</v>
      </c>
      <c r="M41" s="6">
        <v>97</v>
      </c>
      <c r="N41" s="6">
        <v>91</v>
      </c>
      <c r="O41" s="6">
        <v>90</v>
      </c>
      <c r="P41" s="6">
        <v>3108</v>
      </c>
      <c r="Q41" s="6">
        <v>421</v>
      </c>
      <c r="R41" s="6">
        <v>50</v>
      </c>
      <c r="S41" s="5">
        <v>1.17</v>
      </c>
      <c r="T41" s="3" t="s">
        <v>64</v>
      </c>
      <c r="U41" s="6">
        <v>56</v>
      </c>
      <c r="V41" s="3" t="s">
        <v>33</v>
      </c>
      <c r="W41" s="3" t="s">
        <v>145</v>
      </c>
      <c r="X41" s="3" t="s">
        <v>55</v>
      </c>
      <c r="Y41" s="3" t="s">
        <v>32</v>
      </c>
      <c r="Z41" s="6">
        <v>7</v>
      </c>
      <c r="AA41" s="3" t="s">
        <v>39</v>
      </c>
      <c r="AB41" s="3" t="s">
        <v>33</v>
      </c>
      <c r="AC41" s="3" t="s">
        <v>91</v>
      </c>
    </row>
    <row r="42" spans="1:29" ht="48">
      <c r="A42" s="3" t="s">
        <v>146</v>
      </c>
      <c r="B42" s="6">
        <v>23</v>
      </c>
      <c r="C42" s="3" t="s">
        <v>49</v>
      </c>
      <c r="D42" s="4">
        <v>25.7</v>
      </c>
      <c r="E42" s="3" t="s">
        <v>50</v>
      </c>
      <c r="F42" s="3" t="s">
        <v>33</v>
      </c>
      <c r="G42" s="3" t="s">
        <v>33</v>
      </c>
      <c r="H42" s="3" t="s">
        <v>32</v>
      </c>
      <c r="I42" s="3" t="s">
        <v>76</v>
      </c>
      <c r="J42" s="3" t="s">
        <v>35</v>
      </c>
      <c r="K42" s="6">
        <v>116</v>
      </c>
      <c r="L42" s="6">
        <v>93</v>
      </c>
      <c r="M42" s="6">
        <v>113</v>
      </c>
      <c r="N42" s="6">
        <v>99</v>
      </c>
      <c r="O42" s="6">
        <v>382</v>
      </c>
      <c r="P42" s="6">
        <v>1329</v>
      </c>
      <c r="Q42" s="6">
        <v>308</v>
      </c>
      <c r="R42" s="6">
        <v>171</v>
      </c>
      <c r="S42" s="5">
        <v>1.54</v>
      </c>
      <c r="T42" s="3" t="s">
        <v>77</v>
      </c>
      <c r="U42" s="6">
        <v>71</v>
      </c>
      <c r="V42" s="3" t="s">
        <v>33</v>
      </c>
      <c r="W42" s="3" t="s">
        <v>37</v>
      </c>
      <c r="X42" s="3" t="s">
        <v>124</v>
      </c>
      <c r="Y42" s="3" t="s">
        <v>33</v>
      </c>
      <c r="Z42" s="6">
        <v>5</v>
      </c>
      <c r="AA42" s="3" t="s">
        <v>39</v>
      </c>
      <c r="AB42" s="3" t="s">
        <v>33</v>
      </c>
      <c r="AC42" s="3" t="s">
        <v>79</v>
      </c>
    </row>
    <row r="43" spans="1:29" ht="48">
      <c r="A43" s="3" t="s">
        <v>147</v>
      </c>
      <c r="B43" s="6">
        <v>32</v>
      </c>
      <c r="C43" s="3" t="s">
        <v>30</v>
      </c>
      <c r="D43" s="4">
        <v>31.1</v>
      </c>
      <c r="E43" s="3" t="s">
        <v>42</v>
      </c>
      <c r="F43" s="3" t="s">
        <v>33</v>
      </c>
      <c r="G43" s="3" t="s">
        <v>33</v>
      </c>
      <c r="H43" s="3" t="s">
        <v>32</v>
      </c>
      <c r="I43" s="3" t="s">
        <v>76</v>
      </c>
      <c r="J43" s="3" t="s">
        <v>35</v>
      </c>
      <c r="K43" s="6">
        <v>125</v>
      </c>
      <c r="L43" s="6">
        <v>92</v>
      </c>
      <c r="M43" s="6">
        <v>60</v>
      </c>
      <c r="N43" s="6">
        <v>96</v>
      </c>
      <c r="O43" s="6">
        <v>463</v>
      </c>
      <c r="P43" s="6">
        <v>2830</v>
      </c>
      <c r="Q43" s="6">
        <v>277</v>
      </c>
      <c r="R43" s="6">
        <v>148</v>
      </c>
      <c r="S43" s="5">
        <v>0.97</v>
      </c>
      <c r="T43" s="3" t="s">
        <v>45</v>
      </c>
      <c r="U43" s="6">
        <v>47</v>
      </c>
      <c r="V43" s="3" t="s">
        <v>33</v>
      </c>
      <c r="W43" s="3" t="s">
        <v>37</v>
      </c>
      <c r="X43" s="3" t="s">
        <v>124</v>
      </c>
      <c r="Y43" s="3" t="s">
        <v>33</v>
      </c>
      <c r="Z43" s="6">
        <v>9</v>
      </c>
      <c r="AA43" s="3" t="s">
        <v>39</v>
      </c>
      <c r="AB43" s="3" t="s">
        <v>33</v>
      </c>
      <c r="AC43" s="3" t="s">
        <v>79</v>
      </c>
    </row>
    <row r="44" spans="1:29" ht="48">
      <c r="A44" s="3" t="s">
        <v>148</v>
      </c>
      <c r="B44" s="6">
        <v>37</v>
      </c>
      <c r="C44" s="3" t="s">
        <v>49</v>
      </c>
      <c r="D44" s="4">
        <v>23.1</v>
      </c>
      <c r="E44" s="3" t="s">
        <v>31</v>
      </c>
      <c r="F44" s="3" t="s">
        <v>32</v>
      </c>
      <c r="G44" s="3" t="s">
        <v>33</v>
      </c>
      <c r="H44" s="3" t="s">
        <v>32</v>
      </c>
      <c r="I44" s="3" t="s">
        <v>102</v>
      </c>
      <c r="J44" s="3" t="s">
        <v>90</v>
      </c>
      <c r="K44" s="6">
        <v>211</v>
      </c>
      <c r="L44" s="6">
        <v>83</v>
      </c>
      <c r="M44" s="6">
        <v>76</v>
      </c>
      <c r="N44" s="6">
        <v>97</v>
      </c>
      <c r="O44" s="6">
        <v>6</v>
      </c>
      <c r="P44" s="6">
        <v>2247</v>
      </c>
      <c r="Q44" s="6">
        <v>21</v>
      </c>
      <c r="R44" s="6">
        <v>153</v>
      </c>
      <c r="S44" s="5">
        <v>0.88</v>
      </c>
      <c r="T44" s="3" t="s">
        <v>45</v>
      </c>
      <c r="U44" s="6">
        <v>44</v>
      </c>
      <c r="V44" s="3" t="s">
        <v>33</v>
      </c>
      <c r="W44" s="3" t="s">
        <v>37</v>
      </c>
      <c r="X44" s="3" t="s">
        <v>108</v>
      </c>
      <c r="Y44" s="3" t="s">
        <v>33</v>
      </c>
      <c r="Z44" s="6">
        <v>7</v>
      </c>
      <c r="AA44" s="3" t="s">
        <v>39</v>
      </c>
      <c r="AB44" s="3" t="s">
        <v>33</v>
      </c>
      <c r="AC44" s="3" t="s">
        <v>104</v>
      </c>
    </row>
    <row r="45" spans="1:29" ht="48">
      <c r="A45" s="3" t="s">
        <v>149</v>
      </c>
      <c r="B45" s="6">
        <v>77</v>
      </c>
      <c r="C45" s="3" t="s">
        <v>49</v>
      </c>
      <c r="D45" s="4">
        <v>24.7</v>
      </c>
      <c r="E45" s="3" t="s">
        <v>31</v>
      </c>
      <c r="F45" s="3" t="s">
        <v>33</v>
      </c>
      <c r="G45" s="3" t="s">
        <v>33</v>
      </c>
      <c r="H45" s="3" t="s">
        <v>33</v>
      </c>
      <c r="I45" s="3" t="s">
        <v>102</v>
      </c>
      <c r="J45" s="3" t="s">
        <v>131</v>
      </c>
      <c r="K45" s="6">
        <v>159</v>
      </c>
      <c r="L45" s="6">
        <v>77</v>
      </c>
      <c r="M45" s="6">
        <v>76</v>
      </c>
      <c r="N45" s="6">
        <v>96</v>
      </c>
      <c r="O45" s="6">
        <v>9</v>
      </c>
      <c r="P45" s="6">
        <v>273</v>
      </c>
      <c r="Q45" s="6">
        <v>163</v>
      </c>
      <c r="R45" s="6">
        <v>138</v>
      </c>
      <c r="S45" s="5">
        <v>1.07</v>
      </c>
      <c r="T45" s="3" t="s">
        <v>81</v>
      </c>
      <c r="U45" s="6">
        <v>35</v>
      </c>
      <c r="V45" s="3" t="s">
        <v>33</v>
      </c>
      <c r="W45" s="3" t="s">
        <v>37</v>
      </c>
      <c r="X45" s="3" t="s">
        <v>103</v>
      </c>
      <c r="Y45" s="3" t="s">
        <v>33</v>
      </c>
      <c r="Z45" s="6">
        <v>6</v>
      </c>
      <c r="AA45" s="3" t="s">
        <v>39</v>
      </c>
      <c r="AB45" s="3" t="s">
        <v>33</v>
      </c>
      <c r="AC45" s="3" t="s">
        <v>142</v>
      </c>
    </row>
    <row r="46" spans="1:29" ht="48">
      <c r="A46" s="3" t="s">
        <v>150</v>
      </c>
      <c r="B46" s="6">
        <v>27</v>
      </c>
      <c r="C46" s="3" t="s">
        <v>30</v>
      </c>
      <c r="D46" s="4">
        <v>30.5</v>
      </c>
      <c r="E46" s="3" t="s">
        <v>42</v>
      </c>
      <c r="F46" s="3" t="s">
        <v>33</v>
      </c>
      <c r="G46" s="3" t="s">
        <v>33</v>
      </c>
      <c r="H46" s="3" t="s">
        <v>33</v>
      </c>
      <c r="I46" s="3" t="s">
        <v>51</v>
      </c>
      <c r="J46" s="3" t="s">
        <v>90</v>
      </c>
      <c r="K46" s="6">
        <v>134</v>
      </c>
      <c r="L46" s="6">
        <v>83</v>
      </c>
      <c r="M46" s="6">
        <v>113</v>
      </c>
      <c r="N46" s="6">
        <v>90</v>
      </c>
      <c r="O46" s="6">
        <v>56</v>
      </c>
      <c r="P46" s="6">
        <v>4942</v>
      </c>
      <c r="Q46" s="6">
        <v>1082</v>
      </c>
      <c r="R46" s="6">
        <v>120</v>
      </c>
      <c r="S46" s="5">
        <v>1.07</v>
      </c>
      <c r="T46" s="3" t="s">
        <v>94</v>
      </c>
      <c r="U46" s="6">
        <v>42</v>
      </c>
      <c r="V46" s="3" t="s">
        <v>33</v>
      </c>
      <c r="W46" s="3" t="s">
        <v>54</v>
      </c>
      <c r="X46" s="3" t="s">
        <v>140</v>
      </c>
      <c r="Y46" s="3" t="s">
        <v>33</v>
      </c>
      <c r="Z46" s="6">
        <v>6</v>
      </c>
      <c r="AA46" s="3" t="s">
        <v>39</v>
      </c>
      <c r="AB46" s="3" t="s">
        <v>33</v>
      </c>
      <c r="AC46" s="3" t="s">
        <v>91</v>
      </c>
    </row>
    <row r="47" spans="1:29" ht="48">
      <c r="A47" s="3" t="s">
        <v>151</v>
      </c>
      <c r="B47" s="6">
        <v>20</v>
      </c>
      <c r="C47" s="3" t="s">
        <v>30</v>
      </c>
      <c r="D47" s="4">
        <v>29.7</v>
      </c>
      <c r="E47" s="3" t="s">
        <v>42</v>
      </c>
      <c r="F47" s="3" t="s">
        <v>33</v>
      </c>
      <c r="G47" s="3" t="s">
        <v>33</v>
      </c>
      <c r="H47" s="3" t="s">
        <v>32</v>
      </c>
      <c r="I47" s="3" t="s">
        <v>58</v>
      </c>
      <c r="J47" s="3" t="s">
        <v>85</v>
      </c>
      <c r="K47" s="6">
        <v>176</v>
      </c>
      <c r="L47" s="6">
        <v>83</v>
      </c>
      <c r="M47" s="6">
        <v>127</v>
      </c>
      <c r="N47" s="6">
        <v>97</v>
      </c>
      <c r="O47" s="6">
        <v>42</v>
      </c>
      <c r="P47" s="6">
        <v>358</v>
      </c>
      <c r="Q47" s="6">
        <v>720</v>
      </c>
      <c r="R47" s="6">
        <v>140</v>
      </c>
      <c r="S47" s="5">
        <v>1.25</v>
      </c>
      <c r="T47" s="3" t="s">
        <v>36</v>
      </c>
      <c r="U47" s="6">
        <v>53</v>
      </c>
      <c r="V47" s="3" t="s">
        <v>33</v>
      </c>
      <c r="W47" s="3" t="s">
        <v>37</v>
      </c>
      <c r="X47" s="3" t="s">
        <v>106</v>
      </c>
      <c r="Y47" s="3" t="s">
        <v>33</v>
      </c>
      <c r="Z47" s="6">
        <v>6</v>
      </c>
      <c r="AA47" s="3" t="s">
        <v>39</v>
      </c>
      <c r="AB47" s="3" t="s">
        <v>33</v>
      </c>
      <c r="AC47" s="3" t="s">
        <v>86</v>
      </c>
    </row>
    <row r="48" spans="1:29" ht="48">
      <c r="A48" s="3" t="s">
        <v>152</v>
      </c>
      <c r="B48" s="6">
        <v>27</v>
      </c>
      <c r="C48" s="3" t="s">
        <v>30</v>
      </c>
      <c r="D48" s="4">
        <v>24.1</v>
      </c>
      <c r="E48" s="3" t="s">
        <v>42</v>
      </c>
      <c r="F48" s="3" t="s">
        <v>33</v>
      </c>
      <c r="G48" s="3" t="s">
        <v>32</v>
      </c>
      <c r="H48" s="3" t="s">
        <v>32</v>
      </c>
      <c r="I48" s="3" t="s">
        <v>76</v>
      </c>
      <c r="J48" s="3" t="s">
        <v>90</v>
      </c>
      <c r="K48" s="6">
        <v>122</v>
      </c>
      <c r="L48" s="6">
        <v>78</v>
      </c>
      <c r="M48" s="6">
        <v>88</v>
      </c>
      <c r="N48" s="6">
        <v>91</v>
      </c>
      <c r="O48" s="6">
        <v>277</v>
      </c>
      <c r="P48" s="6">
        <v>430</v>
      </c>
      <c r="Q48" s="6">
        <v>360</v>
      </c>
      <c r="R48" s="6">
        <v>127</v>
      </c>
      <c r="S48" s="5">
        <v>0.76</v>
      </c>
      <c r="T48" s="3" t="s">
        <v>45</v>
      </c>
      <c r="U48" s="6">
        <v>51</v>
      </c>
      <c r="V48" s="3" t="s">
        <v>33</v>
      </c>
      <c r="W48" s="3" t="s">
        <v>37</v>
      </c>
      <c r="X48" s="3" t="s">
        <v>124</v>
      </c>
      <c r="Y48" s="3" t="s">
        <v>33</v>
      </c>
      <c r="Z48" s="6">
        <v>6</v>
      </c>
      <c r="AA48" s="3" t="s">
        <v>39</v>
      </c>
      <c r="AB48" s="3" t="s">
        <v>33</v>
      </c>
      <c r="AC48" s="3" t="s">
        <v>100</v>
      </c>
    </row>
    <row r="49" spans="1:29" ht="48">
      <c r="A49" s="3" t="s">
        <v>153</v>
      </c>
      <c r="B49" s="6">
        <v>31</v>
      </c>
      <c r="C49" s="3" t="s">
        <v>30</v>
      </c>
      <c r="D49" s="4">
        <v>23.6</v>
      </c>
      <c r="E49" s="3" t="s">
        <v>50</v>
      </c>
      <c r="F49" s="3" t="s">
        <v>33</v>
      </c>
      <c r="G49" s="3" t="s">
        <v>33</v>
      </c>
      <c r="H49" s="3" t="s">
        <v>32</v>
      </c>
      <c r="I49" s="3" t="s">
        <v>154</v>
      </c>
      <c r="J49" s="3" t="s">
        <v>85</v>
      </c>
      <c r="K49" s="6">
        <v>109</v>
      </c>
      <c r="L49" s="6">
        <v>96</v>
      </c>
      <c r="M49" s="6">
        <v>101</v>
      </c>
      <c r="N49" s="6">
        <v>96</v>
      </c>
      <c r="O49" s="6">
        <v>6</v>
      </c>
      <c r="P49" s="6">
        <v>622</v>
      </c>
      <c r="Q49" s="6">
        <v>208</v>
      </c>
      <c r="R49" s="6">
        <v>132</v>
      </c>
      <c r="S49" s="5">
        <v>1.41</v>
      </c>
      <c r="T49" s="3" t="s">
        <v>81</v>
      </c>
      <c r="U49" s="6">
        <v>53</v>
      </c>
      <c r="V49" s="3" t="s">
        <v>33</v>
      </c>
      <c r="W49" s="3" t="s">
        <v>37</v>
      </c>
      <c r="X49" s="3" t="s">
        <v>155</v>
      </c>
      <c r="Y49" s="3" t="s">
        <v>33</v>
      </c>
      <c r="Z49" s="6">
        <v>5</v>
      </c>
      <c r="AA49" s="3" t="s">
        <v>39</v>
      </c>
      <c r="AB49" s="3" t="s">
        <v>32</v>
      </c>
      <c r="AC49" s="3" t="s">
        <v>156</v>
      </c>
    </row>
    <row r="50" spans="1:29" ht="48">
      <c r="A50" s="3" t="s">
        <v>157</v>
      </c>
      <c r="B50" s="6">
        <v>56</v>
      </c>
      <c r="C50" s="3" t="s">
        <v>30</v>
      </c>
      <c r="D50" s="4">
        <v>24.7</v>
      </c>
      <c r="E50" s="3" t="s">
        <v>31</v>
      </c>
      <c r="F50" s="3" t="s">
        <v>32</v>
      </c>
      <c r="G50" s="3" t="s">
        <v>33</v>
      </c>
      <c r="H50" s="3" t="s">
        <v>32</v>
      </c>
      <c r="I50" s="3" t="s">
        <v>34</v>
      </c>
      <c r="J50" s="3" t="s">
        <v>35</v>
      </c>
      <c r="K50" s="6">
        <v>135</v>
      </c>
      <c r="L50" s="6">
        <v>91</v>
      </c>
      <c r="M50" s="6">
        <v>132</v>
      </c>
      <c r="N50" s="6">
        <v>100</v>
      </c>
      <c r="O50" s="6">
        <v>28</v>
      </c>
      <c r="P50" s="6">
        <v>2160</v>
      </c>
      <c r="Q50" s="6">
        <v>86</v>
      </c>
      <c r="R50" s="6">
        <v>141</v>
      </c>
      <c r="S50" s="5">
        <v>0.92</v>
      </c>
      <c r="T50" s="3" t="s">
        <v>36</v>
      </c>
      <c r="U50" s="6">
        <v>47</v>
      </c>
      <c r="V50" s="3" t="s">
        <v>33</v>
      </c>
      <c r="W50" s="3" t="s">
        <v>37</v>
      </c>
      <c r="X50" s="3" t="s">
        <v>38</v>
      </c>
      <c r="Y50" s="3" t="s">
        <v>33</v>
      </c>
      <c r="Z50" s="6">
        <v>7</v>
      </c>
      <c r="AA50" s="3" t="s">
        <v>39</v>
      </c>
      <c r="AB50" s="3" t="s">
        <v>33</v>
      </c>
      <c r="AC50" s="3" t="s">
        <v>40</v>
      </c>
    </row>
    <row r="51" spans="1:29" ht="48">
      <c r="A51" s="3" t="s">
        <v>158</v>
      </c>
      <c r="B51" s="6">
        <v>82</v>
      </c>
      <c r="C51" s="3" t="s">
        <v>30</v>
      </c>
      <c r="D51" s="4">
        <v>25.8</v>
      </c>
      <c r="E51" s="3" t="s">
        <v>42</v>
      </c>
      <c r="F51" s="3" t="s">
        <v>32</v>
      </c>
      <c r="G51" s="3" t="s">
        <v>32</v>
      </c>
      <c r="H51" s="3" t="s">
        <v>33</v>
      </c>
      <c r="I51" s="3" t="s">
        <v>68</v>
      </c>
      <c r="J51" s="3" t="s">
        <v>59</v>
      </c>
      <c r="K51" s="6">
        <v>122</v>
      </c>
      <c r="L51" s="6">
        <v>95</v>
      </c>
      <c r="M51" s="6">
        <v>82</v>
      </c>
      <c r="N51" s="6">
        <v>98</v>
      </c>
      <c r="O51" s="6">
        <v>16</v>
      </c>
      <c r="P51" s="6">
        <v>1453</v>
      </c>
      <c r="Q51" s="6">
        <v>184</v>
      </c>
      <c r="R51" s="6">
        <v>116</v>
      </c>
      <c r="S51" s="5">
        <v>1.29</v>
      </c>
      <c r="T51" s="3" t="s">
        <v>64</v>
      </c>
      <c r="U51" s="6">
        <v>40</v>
      </c>
      <c r="V51" s="3" t="s">
        <v>33</v>
      </c>
      <c r="W51" s="3" t="s">
        <v>37</v>
      </c>
      <c r="X51" s="3" t="s">
        <v>69</v>
      </c>
      <c r="Y51" s="3" t="s">
        <v>33</v>
      </c>
      <c r="Z51" s="6">
        <v>7</v>
      </c>
      <c r="AA51" s="3" t="s">
        <v>39</v>
      </c>
      <c r="AB51" s="3" t="s">
        <v>33</v>
      </c>
      <c r="AC51" s="3" t="s">
        <v>83</v>
      </c>
    </row>
    <row r="52" spans="1:29" ht="48">
      <c r="A52" s="3" t="s">
        <v>159</v>
      </c>
      <c r="B52" s="6">
        <v>18</v>
      </c>
      <c r="C52" s="3" t="s">
        <v>30</v>
      </c>
      <c r="D52" s="4">
        <v>18.2</v>
      </c>
      <c r="E52" s="3" t="s">
        <v>50</v>
      </c>
      <c r="F52" s="3" t="s">
        <v>33</v>
      </c>
      <c r="G52" s="3" t="s">
        <v>32</v>
      </c>
      <c r="H52" s="3" t="s">
        <v>32</v>
      </c>
      <c r="I52" s="3" t="s">
        <v>76</v>
      </c>
      <c r="J52" s="3" t="s">
        <v>59</v>
      </c>
      <c r="K52" s="6">
        <v>117</v>
      </c>
      <c r="L52" s="6">
        <v>89</v>
      </c>
      <c r="M52" s="6">
        <v>111</v>
      </c>
      <c r="N52" s="6">
        <v>95</v>
      </c>
      <c r="O52" s="6">
        <v>608</v>
      </c>
      <c r="P52" s="6">
        <v>685</v>
      </c>
      <c r="Q52" s="6">
        <v>629</v>
      </c>
      <c r="R52" s="6">
        <v>183</v>
      </c>
      <c r="S52" s="5">
        <v>1.06</v>
      </c>
      <c r="T52" s="3" t="s">
        <v>45</v>
      </c>
      <c r="U52" s="6">
        <v>50</v>
      </c>
      <c r="V52" s="3" t="s">
        <v>33</v>
      </c>
      <c r="W52" s="3" t="s">
        <v>37</v>
      </c>
      <c r="X52" s="3" t="s">
        <v>99</v>
      </c>
      <c r="Y52" s="3" t="s">
        <v>32</v>
      </c>
      <c r="Z52" s="6">
        <v>11</v>
      </c>
      <c r="AA52" s="3" t="s">
        <v>39</v>
      </c>
      <c r="AB52" s="3" t="s">
        <v>33</v>
      </c>
      <c r="AC52" s="3" t="s">
        <v>97</v>
      </c>
    </row>
    <row r="53" spans="1:29" ht="48">
      <c r="A53" s="3" t="s">
        <v>160</v>
      </c>
      <c r="B53" s="6">
        <v>40</v>
      </c>
      <c r="C53" s="3" t="s">
        <v>30</v>
      </c>
      <c r="D53" s="4">
        <v>26.9</v>
      </c>
      <c r="E53" s="3" t="s">
        <v>42</v>
      </c>
      <c r="F53" s="3" t="s">
        <v>32</v>
      </c>
      <c r="G53" s="3" t="s">
        <v>33</v>
      </c>
      <c r="H53" s="3" t="s">
        <v>32</v>
      </c>
      <c r="I53" s="3" t="s">
        <v>76</v>
      </c>
      <c r="J53" s="3" t="s">
        <v>35</v>
      </c>
      <c r="K53" s="6">
        <v>111</v>
      </c>
      <c r="L53" s="6">
        <v>85</v>
      </c>
      <c r="M53" s="6">
        <v>81</v>
      </c>
      <c r="N53" s="6">
        <v>97</v>
      </c>
      <c r="O53" s="6">
        <v>726</v>
      </c>
      <c r="P53" s="6">
        <v>1237</v>
      </c>
      <c r="Q53" s="6">
        <v>37</v>
      </c>
      <c r="R53" s="6">
        <v>140</v>
      </c>
      <c r="S53" s="5">
        <v>0.95</v>
      </c>
      <c r="T53" s="3" t="s">
        <v>77</v>
      </c>
      <c r="U53" s="6">
        <v>57</v>
      </c>
      <c r="V53" s="3" t="s">
        <v>33</v>
      </c>
      <c r="W53" s="3" t="s">
        <v>37</v>
      </c>
      <c r="X53" s="3" t="s">
        <v>99</v>
      </c>
      <c r="Y53" s="3" t="s">
        <v>33</v>
      </c>
      <c r="Z53" s="6">
        <v>6</v>
      </c>
      <c r="AA53" s="3" t="s">
        <v>39</v>
      </c>
      <c r="AB53" s="3" t="s">
        <v>33</v>
      </c>
      <c r="AC53" s="3" t="s">
        <v>79</v>
      </c>
    </row>
    <row r="54" spans="1:29" ht="48">
      <c r="A54" s="3" t="s">
        <v>161</v>
      </c>
      <c r="B54" s="6">
        <v>49</v>
      </c>
      <c r="C54" s="3" t="s">
        <v>49</v>
      </c>
      <c r="D54" s="4">
        <v>18.5</v>
      </c>
      <c r="E54" s="3" t="s">
        <v>42</v>
      </c>
      <c r="F54" s="3" t="s">
        <v>33</v>
      </c>
      <c r="G54" s="3" t="s">
        <v>33</v>
      </c>
      <c r="H54" s="3" t="s">
        <v>33</v>
      </c>
      <c r="I54" s="3" t="s">
        <v>34</v>
      </c>
      <c r="J54" s="3" t="s">
        <v>59</v>
      </c>
      <c r="K54" s="6">
        <v>116</v>
      </c>
      <c r="L54" s="6">
        <v>66</v>
      </c>
      <c r="M54" s="6">
        <v>88</v>
      </c>
      <c r="N54" s="6">
        <v>92</v>
      </c>
      <c r="O54" s="6">
        <v>13</v>
      </c>
      <c r="P54" s="6">
        <v>964</v>
      </c>
      <c r="Q54" s="6">
        <v>313</v>
      </c>
      <c r="R54" s="6">
        <v>152</v>
      </c>
      <c r="S54" s="5">
        <v>1.48</v>
      </c>
      <c r="T54" s="3" t="s">
        <v>36</v>
      </c>
      <c r="U54" s="6">
        <v>69</v>
      </c>
      <c r="V54" s="3" t="s">
        <v>33</v>
      </c>
      <c r="W54" s="3" t="s">
        <v>37</v>
      </c>
      <c r="X54" s="3" t="s">
        <v>129</v>
      </c>
      <c r="Y54" s="3" t="s">
        <v>33</v>
      </c>
      <c r="Z54" s="6">
        <v>8</v>
      </c>
      <c r="AA54" s="3" t="s">
        <v>39</v>
      </c>
      <c r="AB54" s="3" t="s">
        <v>33</v>
      </c>
      <c r="AC54" s="3" t="s">
        <v>74</v>
      </c>
    </row>
    <row r="55" spans="1:29" ht="48">
      <c r="A55" s="3" t="s">
        <v>162</v>
      </c>
      <c r="B55" s="6">
        <v>29</v>
      </c>
      <c r="C55" s="3" t="s">
        <v>49</v>
      </c>
      <c r="D55" s="4">
        <v>27.2</v>
      </c>
      <c r="E55" s="3" t="s">
        <v>42</v>
      </c>
      <c r="F55" s="3" t="s">
        <v>33</v>
      </c>
      <c r="G55" s="3" t="s">
        <v>33</v>
      </c>
      <c r="H55" s="3" t="s">
        <v>33</v>
      </c>
      <c r="I55" s="3" t="s">
        <v>76</v>
      </c>
      <c r="J55" s="3" t="s">
        <v>35</v>
      </c>
      <c r="K55" s="6">
        <v>186</v>
      </c>
      <c r="L55" s="6">
        <v>92</v>
      </c>
      <c r="M55" s="6">
        <v>87</v>
      </c>
      <c r="N55" s="6">
        <v>93</v>
      </c>
      <c r="O55" s="6">
        <v>121</v>
      </c>
      <c r="P55" s="6">
        <v>309</v>
      </c>
      <c r="Q55" s="6">
        <v>618</v>
      </c>
      <c r="R55" s="6">
        <v>155</v>
      </c>
      <c r="S55" s="5">
        <v>0.68</v>
      </c>
      <c r="T55" s="3" t="s">
        <v>77</v>
      </c>
      <c r="U55" s="6">
        <v>58</v>
      </c>
      <c r="V55" s="3" t="s">
        <v>33</v>
      </c>
      <c r="W55" s="3" t="s">
        <v>37</v>
      </c>
      <c r="X55" s="3" t="s">
        <v>78</v>
      </c>
      <c r="Y55" s="3" t="s">
        <v>33</v>
      </c>
      <c r="Z55" s="6">
        <v>2</v>
      </c>
      <c r="AA55" s="3" t="s">
        <v>39</v>
      </c>
      <c r="AB55" s="3" t="s">
        <v>32</v>
      </c>
      <c r="AC55" s="3" t="s">
        <v>79</v>
      </c>
    </row>
    <row r="56" spans="1:29" ht="48">
      <c r="A56" s="3" t="s">
        <v>163</v>
      </c>
      <c r="B56" s="6">
        <v>46</v>
      </c>
      <c r="C56" s="3" t="s">
        <v>49</v>
      </c>
      <c r="D56" s="4">
        <v>26.3</v>
      </c>
      <c r="E56" s="3" t="s">
        <v>42</v>
      </c>
      <c r="F56" s="3" t="s">
        <v>32</v>
      </c>
      <c r="G56" s="3" t="s">
        <v>33</v>
      </c>
      <c r="H56" s="3" t="s">
        <v>33</v>
      </c>
      <c r="I56" s="3" t="s">
        <v>58</v>
      </c>
      <c r="J56" s="3" t="s">
        <v>44</v>
      </c>
      <c r="K56" s="6">
        <v>144</v>
      </c>
      <c r="L56" s="6">
        <v>82</v>
      </c>
      <c r="M56" s="6">
        <v>97</v>
      </c>
      <c r="N56" s="6">
        <v>99</v>
      </c>
      <c r="O56" s="6">
        <v>8</v>
      </c>
      <c r="P56" s="6">
        <v>4575</v>
      </c>
      <c r="Q56" s="6">
        <v>1406</v>
      </c>
      <c r="R56" s="6">
        <v>111</v>
      </c>
      <c r="S56" s="5">
        <v>0.85</v>
      </c>
      <c r="T56" s="3" t="s">
        <v>81</v>
      </c>
      <c r="U56" s="6">
        <v>40</v>
      </c>
      <c r="V56" s="3" t="s">
        <v>33</v>
      </c>
      <c r="W56" s="3" t="s">
        <v>37</v>
      </c>
      <c r="X56" s="3" t="s">
        <v>95</v>
      </c>
      <c r="Y56" s="3" t="s">
        <v>33</v>
      </c>
      <c r="Z56" s="6">
        <v>6</v>
      </c>
      <c r="AA56" s="3" t="s">
        <v>39</v>
      </c>
      <c r="AB56" s="3" t="s">
        <v>33</v>
      </c>
      <c r="AC56" s="3" t="s">
        <v>88</v>
      </c>
    </row>
    <row r="57" spans="1:29" ht="48">
      <c r="A57" s="3" t="s">
        <v>164</v>
      </c>
      <c r="B57" s="6">
        <v>27</v>
      </c>
      <c r="C57" s="3" t="s">
        <v>30</v>
      </c>
      <c r="D57" s="4">
        <v>27.8</v>
      </c>
      <c r="E57" s="3" t="s">
        <v>50</v>
      </c>
      <c r="F57" s="3" t="s">
        <v>33</v>
      </c>
      <c r="G57" s="3" t="s">
        <v>33</v>
      </c>
      <c r="H57" s="3" t="s">
        <v>33</v>
      </c>
      <c r="I57" s="3" t="s">
        <v>76</v>
      </c>
      <c r="J57" s="3" t="s">
        <v>35</v>
      </c>
      <c r="K57" s="6">
        <v>126</v>
      </c>
      <c r="L57" s="6">
        <v>102</v>
      </c>
      <c r="M57" s="6">
        <v>83</v>
      </c>
      <c r="N57" s="6">
        <v>97</v>
      </c>
      <c r="O57" s="6">
        <v>1392</v>
      </c>
      <c r="P57" s="6">
        <v>2062</v>
      </c>
      <c r="Q57" s="6">
        <v>225</v>
      </c>
      <c r="R57" s="6">
        <v>50</v>
      </c>
      <c r="S57" s="5">
        <v>0.8</v>
      </c>
      <c r="T57" s="3" t="s">
        <v>77</v>
      </c>
      <c r="U57" s="6">
        <v>58</v>
      </c>
      <c r="V57" s="3" t="s">
        <v>33</v>
      </c>
      <c r="W57" s="3" t="s">
        <v>37</v>
      </c>
      <c r="X57" s="3" t="s">
        <v>124</v>
      </c>
      <c r="Y57" s="3" t="s">
        <v>33</v>
      </c>
      <c r="Z57" s="6">
        <v>3</v>
      </c>
      <c r="AA57" s="3" t="s">
        <v>39</v>
      </c>
      <c r="AB57" s="3" t="s">
        <v>33</v>
      </c>
      <c r="AC57" s="3" t="s">
        <v>79</v>
      </c>
    </row>
    <row r="58" spans="1:29" ht="48">
      <c r="A58" s="3" t="s">
        <v>165</v>
      </c>
      <c r="B58" s="6">
        <v>84</v>
      </c>
      <c r="C58" s="3" t="s">
        <v>49</v>
      </c>
      <c r="D58" s="4">
        <v>24.1</v>
      </c>
      <c r="E58" s="3" t="s">
        <v>50</v>
      </c>
      <c r="F58" s="3" t="s">
        <v>32</v>
      </c>
      <c r="G58" s="3" t="s">
        <v>32</v>
      </c>
      <c r="H58" s="3" t="s">
        <v>33</v>
      </c>
      <c r="I58" s="3" t="s">
        <v>76</v>
      </c>
      <c r="J58" s="3" t="s">
        <v>90</v>
      </c>
      <c r="K58" s="6">
        <v>125</v>
      </c>
      <c r="L58" s="6">
        <v>87</v>
      </c>
      <c r="M58" s="6">
        <v>88</v>
      </c>
      <c r="N58" s="6">
        <v>98</v>
      </c>
      <c r="O58" s="6">
        <v>341</v>
      </c>
      <c r="P58" s="6">
        <v>100</v>
      </c>
      <c r="Q58" s="6">
        <v>428</v>
      </c>
      <c r="R58" s="6">
        <v>102</v>
      </c>
      <c r="S58" s="5">
        <v>1.21</v>
      </c>
      <c r="T58" s="3" t="s">
        <v>77</v>
      </c>
      <c r="U58" s="6">
        <v>69</v>
      </c>
      <c r="V58" s="3" t="s">
        <v>33</v>
      </c>
      <c r="W58" s="3" t="s">
        <v>37</v>
      </c>
      <c r="X58" s="3" t="s">
        <v>124</v>
      </c>
      <c r="Y58" s="3" t="s">
        <v>33</v>
      </c>
      <c r="Z58" s="6">
        <v>5</v>
      </c>
      <c r="AA58" s="3" t="s">
        <v>39</v>
      </c>
      <c r="AB58" s="3" t="s">
        <v>33</v>
      </c>
      <c r="AC58" s="3" t="s">
        <v>100</v>
      </c>
    </row>
    <row r="59" spans="1:29" ht="48">
      <c r="A59" s="3" t="s">
        <v>166</v>
      </c>
      <c r="B59" s="6">
        <v>54</v>
      </c>
      <c r="C59" s="3" t="s">
        <v>49</v>
      </c>
      <c r="D59" s="4">
        <v>24</v>
      </c>
      <c r="E59" s="3" t="s">
        <v>42</v>
      </c>
      <c r="F59" s="3" t="s">
        <v>32</v>
      </c>
      <c r="G59" s="3" t="s">
        <v>32</v>
      </c>
      <c r="H59" s="3" t="s">
        <v>33</v>
      </c>
      <c r="I59" s="3" t="s">
        <v>34</v>
      </c>
      <c r="J59" s="3" t="s">
        <v>59</v>
      </c>
      <c r="K59" s="6">
        <v>153</v>
      </c>
      <c r="L59" s="6">
        <v>89</v>
      </c>
      <c r="M59" s="6">
        <v>118</v>
      </c>
      <c r="N59" s="6">
        <v>92</v>
      </c>
      <c r="O59" s="6">
        <v>9</v>
      </c>
      <c r="P59" s="6">
        <v>527</v>
      </c>
      <c r="Q59" s="6">
        <v>593</v>
      </c>
      <c r="R59" s="6">
        <v>95</v>
      </c>
      <c r="S59" s="5">
        <v>0.7</v>
      </c>
      <c r="T59" s="3" t="s">
        <v>36</v>
      </c>
      <c r="U59" s="6">
        <v>66</v>
      </c>
      <c r="V59" s="3" t="s">
        <v>33</v>
      </c>
      <c r="W59" s="3" t="s">
        <v>37</v>
      </c>
      <c r="X59" s="3" t="s">
        <v>129</v>
      </c>
      <c r="Y59" s="3" t="s">
        <v>33</v>
      </c>
      <c r="Z59" s="6">
        <v>6</v>
      </c>
      <c r="AA59" s="3" t="s">
        <v>39</v>
      </c>
      <c r="AB59" s="3" t="s">
        <v>33</v>
      </c>
      <c r="AC59" s="3" t="s">
        <v>74</v>
      </c>
    </row>
    <row r="60" spans="1:29" ht="48">
      <c r="A60" s="3" t="s">
        <v>167</v>
      </c>
      <c r="B60" s="6">
        <v>27</v>
      </c>
      <c r="C60" s="3" t="s">
        <v>30</v>
      </c>
      <c r="D60" s="4">
        <v>18.2</v>
      </c>
      <c r="E60" s="3" t="s">
        <v>50</v>
      </c>
      <c r="F60" s="3" t="s">
        <v>32</v>
      </c>
      <c r="G60" s="3" t="s">
        <v>33</v>
      </c>
      <c r="H60" s="3" t="s">
        <v>32</v>
      </c>
      <c r="I60" s="3" t="s">
        <v>43</v>
      </c>
      <c r="J60" s="3" t="s">
        <v>44</v>
      </c>
      <c r="K60" s="6">
        <v>118</v>
      </c>
      <c r="L60" s="6">
        <v>80</v>
      </c>
      <c r="M60" s="6">
        <v>67</v>
      </c>
      <c r="N60" s="6">
        <v>98</v>
      </c>
      <c r="O60" s="6">
        <v>14</v>
      </c>
      <c r="P60" s="6">
        <v>295</v>
      </c>
      <c r="Q60" s="6">
        <v>200</v>
      </c>
      <c r="R60" s="6">
        <v>148</v>
      </c>
      <c r="S60" s="5">
        <v>0.9</v>
      </c>
      <c r="T60" s="3" t="s">
        <v>77</v>
      </c>
      <c r="U60" s="6">
        <v>36</v>
      </c>
      <c r="V60" s="3" t="s">
        <v>33</v>
      </c>
      <c r="W60" s="3" t="s">
        <v>37</v>
      </c>
      <c r="X60" s="3" t="s">
        <v>126</v>
      </c>
      <c r="Y60" s="3" t="s">
        <v>33</v>
      </c>
      <c r="Z60" s="6">
        <v>8</v>
      </c>
      <c r="AA60" s="3" t="s">
        <v>39</v>
      </c>
      <c r="AB60" s="3" t="s">
        <v>33</v>
      </c>
      <c r="AC60" s="3" t="s">
        <v>47</v>
      </c>
    </row>
    <row r="61" spans="1:29" ht="48">
      <c r="A61" s="3" t="s">
        <v>168</v>
      </c>
      <c r="B61" s="6">
        <v>30</v>
      </c>
      <c r="C61" s="3" t="s">
        <v>49</v>
      </c>
      <c r="D61" s="4">
        <v>29.8</v>
      </c>
      <c r="E61" s="3" t="s">
        <v>50</v>
      </c>
      <c r="F61" s="3" t="s">
        <v>32</v>
      </c>
      <c r="G61" s="3" t="s">
        <v>33</v>
      </c>
      <c r="H61" s="3" t="s">
        <v>33</v>
      </c>
      <c r="I61" s="3" t="s">
        <v>76</v>
      </c>
      <c r="J61" s="3" t="s">
        <v>35</v>
      </c>
      <c r="K61" s="6">
        <v>82</v>
      </c>
      <c r="L61" s="6">
        <v>98</v>
      </c>
      <c r="M61" s="6">
        <v>104</v>
      </c>
      <c r="N61" s="6">
        <v>91</v>
      </c>
      <c r="O61" s="6">
        <v>318</v>
      </c>
      <c r="P61" s="6">
        <v>1524</v>
      </c>
      <c r="Q61" s="6">
        <v>86</v>
      </c>
      <c r="R61" s="6">
        <v>98</v>
      </c>
      <c r="S61" s="5">
        <v>1.02</v>
      </c>
      <c r="T61" s="3" t="s">
        <v>45</v>
      </c>
      <c r="U61" s="6">
        <v>50</v>
      </c>
      <c r="V61" s="3" t="s">
        <v>33</v>
      </c>
      <c r="W61" s="3" t="s">
        <v>37</v>
      </c>
      <c r="X61" s="3" t="s">
        <v>124</v>
      </c>
      <c r="Y61" s="3" t="s">
        <v>32</v>
      </c>
      <c r="Z61" s="6">
        <v>10</v>
      </c>
      <c r="AA61" s="3" t="s">
        <v>39</v>
      </c>
      <c r="AB61" s="3" t="s">
        <v>33</v>
      </c>
      <c r="AC61" s="3" t="s">
        <v>79</v>
      </c>
    </row>
  </sheetData>
  <conditionalFormatting sqref="N2:N61">
    <cfRule type="cellIs" dxfId="1" priority="1" operator="lessThan">
      <formula>90</formula>
    </cfRule>
  </conditionalFormatting>
  <conditionalFormatting sqref="U2:U61">
    <cfRule type="cellIs" dxfId="0" priority="2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5"/>
  <cols>
    <col min="1" max="1" width="32" customWidth="1"/>
    <col min="2" max="2" width="70" customWidth="1"/>
  </cols>
  <sheetData>
    <row r="1" spans="1:2" ht="16">
      <c r="A1" s="2" t="s">
        <v>169</v>
      </c>
      <c r="B1" s="2" t="s">
        <v>170</v>
      </c>
    </row>
    <row r="2" spans="1:2" ht="16">
      <c r="A2" s="3" t="s">
        <v>0</v>
      </c>
      <c r="B2" s="3" t="s">
        <v>171</v>
      </c>
    </row>
    <row r="3" spans="1:2" ht="16">
      <c r="A3" s="3" t="s">
        <v>1</v>
      </c>
      <c r="B3" s="3" t="s">
        <v>172</v>
      </c>
    </row>
    <row r="4" spans="1:2" ht="16">
      <c r="A4" s="3" t="s">
        <v>2</v>
      </c>
      <c r="B4" s="3" t="s">
        <v>173</v>
      </c>
    </row>
    <row r="5" spans="1:2" ht="16">
      <c r="A5" s="3" t="s">
        <v>3</v>
      </c>
      <c r="B5" s="3" t="s">
        <v>174</v>
      </c>
    </row>
    <row r="6" spans="1:2" ht="16">
      <c r="A6" s="3" t="s">
        <v>4</v>
      </c>
      <c r="B6" s="3" t="s">
        <v>175</v>
      </c>
    </row>
    <row r="7" spans="1:2" ht="16">
      <c r="A7" s="3" t="s">
        <v>176</v>
      </c>
      <c r="B7" s="3" t="s">
        <v>177</v>
      </c>
    </row>
    <row r="8" spans="1:2" ht="16">
      <c r="A8" s="3" t="s">
        <v>8</v>
      </c>
      <c r="B8" s="3" t="s">
        <v>178</v>
      </c>
    </row>
    <row r="9" spans="1:2" ht="16">
      <c r="A9" s="3" t="s">
        <v>9</v>
      </c>
      <c r="B9" s="3" t="s">
        <v>179</v>
      </c>
    </row>
    <row r="10" spans="1:2" ht="16">
      <c r="A10" s="3" t="s">
        <v>14</v>
      </c>
      <c r="B10" s="3" t="s">
        <v>180</v>
      </c>
    </row>
    <row r="11" spans="1:2" ht="16">
      <c r="A11" s="3" t="s">
        <v>15</v>
      </c>
      <c r="B11" s="3" t="s">
        <v>181</v>
      </c>
    </row>
    <row r="12" spans="1:2" ht="16">
      <c r="A12" s="3" t="s">
        <v>16</v>
      </c>
      <c r="B12" s="3" t="s">
        <v>182</v>
      </c>
    </row>
    <row r="13" spans="1:2" ht="16">
      <c r="A13" s="3" t="s">
        <v>19</v>
      </c>
      <c r="B13" s="3" t="s">
        <v>183</v>
      </c>
    </row>
    <row r="14" spans="1:2" ht="16">
      <c r="A14" s="3" t="s">
        <v>20</v>
      </c>
      <c r="B14" s="3" t="s">
        <v>184</v>
      </c>
    </row>
    <row r="15" spans="1:2" ht="16">
      <c r="A15" s="3" t="s">
        <v>21</v>
      </c>
      <c r="B15" s="3" t="s">
        <v>185</v>
      </c>
    </row>
    <row r="16" spans="1:2" ht="16">
      <c r="A16" s="3" t="s">
        <v>22</v>
      </c>
      <c r="B16" s="3" t="s">
        <v>186</v>
      </c>
    </row>
    <row r="17" spans="1:2" ht="16">
      <c r="A17" s="3" t="s">
        <v>23</v>
      </c>
      <c r="B17" s="3" t="s">
        <v>187</v>
      </c>
    </row>
    <row r="18" spans="1:2" ht="16">
      <c r="A18" s="3" t="s">
        <v>24</v>
      </c>
      <c r="B18" s="3" t="s">
        <v>188</v>
      </c>
    </row>
    <row r="19" spans="1:2" ht="16">
      <c r="A19" s="3" t="s">
        <v>26</v>
      </c>
      <c r="B19" s="3" t="s">
        <v>189</v>
      </c>
    </row>
    <row r="20" spans="1:2" ht="16">
      <c r="A20" s="3" t="s">
        <v>27</v>
      </c>
      <c r="B20" s="3" t="s">
        <v>190</v>
      </c>
    </row>
    <row r="21" spans="1:2" ht="16">
      <c r="A21" s="3" t="s">
        <v>191</v>
      </c>
      <c r="B21" s="3" t="s">
        <v>192</v>
      </c>
    </row>
    <row r="22" spans="1:2">
      <c r="A22" s="3"/>
      <c r="B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/>
  <cols>
    <col min="1" max="1" width="36" customWidth="1"/>
    <col min="2" max="2" width="4.5" customWidth="1"/>
    <col min="4" max="4" width="20.83203125" customWidth="1"/>
    <col min="5" max="5" width="4.83203125" customWidth="1"/>
  </cols>
  <sheetData>
    <row r="1" spans="1:5" ht="18">
      <c r="A1" s="7" t="s">
        <v>193</v>
      </c>
      <c r="B1" s="7"/>
      <c r="C1" s="7"/>
      <c r="D1" s="7"/>
    </row>
    <row r="3" spans="1:5">
      <c r="A3" s="1" t="s">
        <v>194</v>
      </c>
      <c r="B3" s="1" t="s">
        <v>195</v>
      </c>
      <c r="D3" s="1" t="s">
        <v>196</v>
      </c>
      <c r="E3" s="1" t="s">
        <v>197</v>
      </c>
    </row>
    <row r="4" spans="1:5">
      <c r="A4" t="s">
        <v>198</v>
      </c>
      <c r="B4">
        <f>COUNTA('Cardio Dataset'!A2:A61)</f>
        <v>60</v>
      </c>
      <c r="D4" t="s">
        <v>76</v>
      </c>
      <c r="E4">
        <f>COUNTIF('Cardio Dataset'!I2:I61,D4)</f>
        <v>15</v>
      </c>
    </row>
    <row r="5" spans="1:5">
      <c r="A5" t="s">
        <v>199</v>
      </c>
      <c r="B5">
        <f>ROUND(AVERAGE('Cardio Dataset'!B2:B61),1)</f>
        <v>43.8</v>
      </c>
      <c r="D5" t="s">
        <v>58</v>
      </c>
      <c r="E5">
        <f>COUNTIF('Cardio Dataset'!I2:I61,D5)</f>
        <v>10</v>
      </c>
    </row>
    <row r="6" spans="1:5">
      <c r="A6" t="s">
        <v>200</v>
      </c>
      <c r="B6">
        <f>ROUND(AVERAGE('Cardio Dataset'!D2:D61),1)</f>
        <v>26.7</v>
      </c>
      <c r="D6" t="s">
        <v>51</v>
      </c>
      <c r="E6">
        <f>COUNTIF('Cardio Dataset'!I2:I61,D6)</f>
        <v>7</v>
      </c>
    </row>
    <row r="7" spans="1:5">
      <c r="A7" t="s">
        <v>201</v>
      </c>
      <c r="B7">
        <f>COUNTIF('Cardio Dataset'!Y2:Y61,"Yes")</f>
        <v>6</v>
      </c>
      <c r="D7" t="s">
        <v>34</v>
      </c>
      <c r="E7">
        <f>COUNTIF('Cardio Dataset'!I2:I61,D7)</f>
        <v>6</v>
      </c>
    </row>
    <row r="8" spans="1:5">
      <c r="A8" t="s">
        <v>202</v>
      </c>
      <c r="B8">
        <f>COUNTIF('Cardio Dataset'!AB2:AB61,"Yes")</f>
        <v>7</v>
      </c>
      <c r="D8" t="s">
        <v>43</v>
      </c>
      <c r="E8">
        <f>COUNTIF('Cardio Dataset'!I2:I61,D8)</f>
        <v>6</v>
      </c>
    </row>
    <row r="9" spans="1:5">
      <c r="D9" t="s">
        <v>102</v>
      </c>
      <c r="E9">
        <f>COUNTIF('Cardio Dataset'!I2:I61,D9)</f>
        <v>8</v>
      </c>
    </row>
    <row r="10" spans="1:5">
      <c r="D10" t="s">
        <v>154</v>
      </c>
      <c r="E10">
        <f>COUNTIF('Cardio Dataset'!I2:I61,D10)</f>
        <v>1</v>
      </c>
    </row>
    <row r="11" spans="1:5">
      <c r="D11" t="s">
        <v>68</v>
      </c>
      <c r="E11">
        <f>COUNTIF('Cardio Dataset'!I2:I61,D11)</f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Cardio Dataset</vt:lpstr>
      <vt:lpstr>Data Dictionary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Jihan Fitria</cp:lastModifiedBy>
  <dcterms:created xsi:type="dcterms:W3CDTF">2026-05-20T04:10:02Z</dcterms:created>
  <dcterms:modified xsi:type="dcterms:W3CDTF">2026-05-20T04:10:02Z</dcterms:modified>
</cp:coreProperties>
</file>